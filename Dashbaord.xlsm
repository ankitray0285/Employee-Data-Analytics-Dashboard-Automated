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32F6877B-7385-40AC-AF85-DD2131F4DD9F}" xr6:coauthVersionLast="47" xr6:coauthVersionMax="47" xr10:uidLastSave="{00000000-0000-0000-0000-000000000000}"/>
  <bookViews>
    <workbookView xWindow="-120" yWindow="-120" windowWidth="20730" windowHeight="11160" xr2:uid="{C6636661-E68A-4072-BD4A-77FBD8DA3271}"/>
  </bookViews>
  <sheets>
    <sheet name="Dashboard" sheetId="6" r:id="rId1"/>
    <sheet name="Cleaned" sheetId="2" r:id="rId2"/>
    <sheet name="Raw Data" sheetId="4" r:id="rId3"/>
    <sheet name="Pivot Table" sheetId="5" r:id="rId4"/>
    <sheet name="BRD" sheetId="3" r:id="rId5"/>
  </sheets>
  <definedNames>
    <definedName name="Slicer_Department">#N/A</definedName>
    <definedName name="Slicer_Nam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 i="2" l="1"/>
  <c r="B58" i="5"/>
  <c r="B10" i="5"/>
</calcChain>
</file>

<file path=xl/sharedStrings.xml><?xml version="1.0" encoding="utf-8"?>
<sst xmlns="http://schemas.openxmlformats.org/spreadsheetml/2006/main" count="402" uniqueCount="190">
  <si>
    <t>ID</t>
  </si>
  <si>
    <t>Name</t>
  </si>
  <si>
    <t>Email</t>
  </si>
  <si>
    <t>Date_of_Birth</t>
  </si>
  <si>
    <t>Department</t>
  </si>
  <si>
    <t>Salary</t>
  </si>
  <si>
    <t>Joining_Date</t>
  </si>
  <si>
    <t>John Doe</t>
  </si>
  <si>
    <t>johndoe@email.com</t>
  </si>
  <si>
    <t>IT</t>
  </si>
  <si>
    <t>jane smith</t>
  </si>
  <si>
    <t>janesmith@email.com</t>
  </si>
  <si>
    <t>HR</t>
  </si>
  <si>
    <t>Alice Johnson</t>
  </si>
  <si>
    <t>alicej@email.com</t>
  </si>
  <si>
    <t>Finance</t>
  </si>
  <si>
    <t>Bob Brown</t>
  </si>
  <si>
    <t>bob.brown@email.com</t>
  </si>
  <si>
    <t>Marketing</t>
  </si>
  <si>
    <t>Charlie Davis</t>
  </si>
  <si>
    <t>charlied@email.com</t>
  </si>
  <si>
    <t>Sales</t>
  </si>
  <si>
    <t>Emily White</t>
  </si>
  <si>
    <t>emilyw@email.com</t>
  </si>
  <si>
    <t>Frank Harris</t>
  </si>
  <si>
    <t>frankh@email.com</t>
  </si>
  <si>
    <t>Grace Lee</t>
  </si>
  <si>
    <t>grace.lee@email.com</t>
  </si>
  <si>
    <t>Henry King</t>
  </si>
  <si>
    <t>henryk@email.com</t>
  </si>
  <si>
    <t>Isabella Moore</t>
  </si>
  <si>
    <t>isam@email.com</t>
  </si>
  <si>
    <t>Jack Taylor</t>
  </si>
  <si>
    <t>jackt@email.com</t>
  </si>
  <si>
    <t>Karen Anderson</t>
  </si>
  <si>
    <t>karena@email.com</t>
  </si>
  <si>
    <t>Liam Thomas</t>
  </si>
  <si>
    <t>liamt@email.com</t>
  </si>
  <si>
    <t>Mia Martin</t>
  </si>
  <si>
    <t>miam@email.com</t>
  </si>
  <si>
    <t>Noah Jackson</t>
  </si>
  <si>
    <t>noahj@email.com</t>
  </si>
  <si>
    <t>Olivia White</t>
  </si>
  <si>
    <t>oliviaw@email.com</t>
  </si>
  <si>
    <t>Paul Harris</t>
  </si>
  <si>
    <t>paulh@email.com</t>
  </si>
  <si>
    <t>Quinn Lewis</t>
  </si>
  <si>
    <t>quinnl@email.com</t>
  </si>
  <si>
    <t>Rachel Young</t>
  </si>
  <si>
    <t>rachely@email.com</t>
  </si>
  <si>
    <t>Sam Wilson</t>
  </si>
  <si>
    <t>samw@email.com</t>
  </si>
  <si>
    <t>Tina Adams</t>
  </si>
  <si>
    <t>tinaa@email.com</t>
  </si>
  <si>
    <t>Umar Khan</t>
  </si>
  <si>
    <t>umark@email.com</t>
  </si>
  <si>
    <t>Vera Singh</t>
  </si>
  <si>
    <t>veras@email.com</t>
  </si>
  <si>
    <t>Will Brown</t>
  </si>
  <si>
    <t>willb@email.com</t>
  </si>
  <si>
    <t>Xavier Patel</t>
  </si>
  <si>
    <t>xavierp@email.com</t>
  </si>
  <si>
    <t>Yara Thomas</t>
  </si>
  <si>
    <t>yarat@email.com</t>
  </si>
  <si>
    <t>Zack Lee</t>
  </si>
  <si>
    <t>zackl@email.com</t>
  </si>
  <si>
    <t>Anna Clark</t>
  </si>
  <si>
    <t>annac@email.com</t>
  </si>
  <si>
    <t>Ben Hall</t>
  </si>
  <si>
    <t>benh@email.com</t>
  </si>
  <si>
    <t>Chloe Walker</t>
  </si>
  <si>
    <t>chloew@email.com</t>
  </si>
  <si>
    <t>Daniel Scott</t>
  </si>
  <si>
    <t>daniels@email.com</t>
  </si>
  <si>
    <t>Eva Green</t>
  </si>
  <si>
    <t>evag@email.com</t>
  </si>
  <si>
    <t>Finn Young</t>
  </si>
  <si>
    <t>finny@email.com</t>
  </si>
  <si>
    <t>Gina Turner</t>
  </si>
  <si>
    <t>ginat@email.com</t>
  </si>
  <si>
    <t>Harry Martin</t>
  </si>
  <si>
    <t>harrym@email.com</t>
  </si>
  <si>
    <t>Isla Roberts</t>
  </si>
  <si>
    <t>islar@email.com</t>
  </si>
  <si>
    <t>Jack Lewis</t>
  </si>
  <si>
    <t>jackl@email.com</t>
  </si>
  <si>
    <t>Kara Walker</t>
  </si>
  <si>
    <t>karaw@email.com</t>
  </si>
  <si>
    <t>Liam Hill</t>
  </si>
  <si>
    <t>liamh@email.com</t>
  </si>
  <si>
    <t>Business Requirement Document (BRD)</t>
  </si>
  <si>
    <t>1. Project Overview</t>
  </si>
  <si>
    <t>Create an automated Excel-based system to manage client and employee data with continuous daily updates, robust data cleaning, and an interactive dashboard. The system will facilitate data entry, duplicate removal, data formatting, and provide business insights with easy navigation and refresh controls.</t>
  </si>
  <si>
    <t>2. Dataset Structure</t>
  </si>
  <si>
    <t>Description</t>
  </si>
  <si>
    <t>Format / Notes</t>
  </si>
  <si>
    <t>Unique identifier (may have duplicates)</t>
  </si>
  <si>
    <t>Numeric (4 digits)</t>
  </si>
  <si>
    <t>Employee/client full name</t>
  </si>
  <si>
    <t>Text, inconsistent capitalization possible</t>
  </si>
  <si>
    <t>Contact email</t>
  </si>
  <si>
    <t>Text, some duplicates and missing values possible</t>
  </si>
  <si>
    <t>Birth date</t>
  </si>
  <si>
    <r>
      <t xml:space="preserve">Date, format </t>
    </r>
    <r>
      <rPr>
        <sz val="10"/>
        <color theme="1"/>
        <rFont val="Arial Unicode MS"/>
      </rPr>
      <t>DD-MM-YY</t>
    </r>
    <r>
      <rPr>
        <sz val="11"/>
        <color theme="1"/>
        <rFont val="Calibri"/>
        <family val="2"/>
        <scheme val="minor"/>
      </rPr>
      <t xml:space="preserve"> or </t>
    </r>
    <r>
      <rPr>
        <sz val="10"/>
        <color theme="1"/>
        <rFont val="Arial Unicode MS"/>
      </rPr>
      <t>DD-MM-YYYY</t>
    </r>
  </si>
  <si>
    <t>Department name</t>
  </si>
  <si>
    <t>Text, fixed categories (e.g., IT, HR)</t>
  </si>
  <si>
    <t>Monthly/annual salary</t>
  </si>
  <si>
    <t>Numeric, may have missing values</t>
  </si>
  <si>
    <t>Date of joining</t>
  </si>
  <si>
    <r>
      <t xml:space="preserve">Date, formats like </t>
    </r>
    <r>
      <rPr>
        <sz val="10"/>
        <color theme="1"/>
        <rFont val="Arial Unicode MS"/>
      </rPr>
      <t>DD/MM/YY</t>
    </r>
    <r>
      <rPr>
        <sz val="11"/>
        <color theme="1"/>
        <rFont val="Calibri"/>
        <family val="2"/>
        <scheme val="minor"/>
      </rPr>
      <t xml:space="preserve"> or </t>
    </r>
    <r>
      <rPr>
        <sz val="10"/>
        <color theme="1"/>
        <rFont val="Arial Unicode MS"/>
      </rPr>
      <t>DD-MM-YY</t>
    </r>
  </si>
  <si>
    <t>3. Client Company Information</t>
  </si>
  <si>
    <t>Field</t>
  </si>
  <si>
    <t>Company Name</t>
  </si>
  <si>
    <t>Industry</t>
  </si>
  <si>
    <t>Services</t>
  </si>
  <si>
    <t>4. Functional Requirements</t>
  </si>
  <si>
    <t>4.1 Data Management &amp; Cleaning</t>
  </si>
  <si>
    <r>
      <t xml:space="preserve">Detect and </t>
    </r>
    <r>
      <rPr>
        <b/>
        <sz val="11"/>
        <color theme="1"/>
        <rFont val="Calibri"/>
        <family val="2"/>
        <scheme val="minor"/>
      </rPr>
      <t>remove duplicate rows</t>
    </r>
    <r>
      <rPr>
        <sz val="11"/>
        <color theme="1"/>
        <rFont val="Calibri"/>
        <family val="2"/>
        <scheme val="minor"/>
      </rPr>
      <t xml:space="preserve"> based on ID and Email.</t>
    </r>
  </si>
  <si>
    <r>
      <t xml:space="preserve">Standardize </t>
    </r>
    <r>
      <rPr>
        <b/>
        <sz val="11"/>
        <color theme="1"/>
        <rFont val="Calibri"/>
        <family val="2"/>
        <scheme val="minor"/>
      </rPr>
      <t>date formats</t>
    </r>
    <r>
      <rPr>
        <sz val="11"/>
        <color theme="1"/>
        <rFont val="Calibri"/>
        <family val="2"/>
        <scheme val="minor"/>
      </rPr>
      <t xml:space="preserve"> across dataset.</t>
    </r>
  </si>
  <si>
    <r>
      <t xml:space="preserve">Correct capitalization inconsistencies in </t>
    </r>
    <r>
      <rPr>
        <b/>
        <sz val="11"/>
        <color theme="1"/>
        <rFont val="Calibri"/>
        <family val="2"/>
        <scheme val="minor"/>
      </rPr>
      <t>Name</t>
    </r>
    <r>
      <rPr>
        <sz val="11"/>
        <color theme="1"/>
        <rFont val="Calibri"/>
        <family val="2"/>
        <scheme val="minor"/>
      </rPr>
      <t xml:space="preserve"> field.</t>
    </r>
  </si>
  <si>
    <r>
      <t xml:space="preserve">Highlight or handle </t>
    </r>
    <r>
      <rPr>
        <b/>
        <sz val="11"/>
        <color theme="1"/>
        <rFont val="Calibri"/>
        <family val="2"/>
        <scheme val="minor"/>
      </rPr>
      <t>missing values</t>
    </r>
    <r>
      <rPr>
        <sz val="11"/>
        <color theme="1"/>
        <rFont val="Calibri"/>
        <family val="2"/>
        <scheme val="minor"/>
      </rPr>
      <t xml:space="preserve"> in critical fields like Email and Salary.</t>
    </r>
  </si>
  <si>
    <r>
      <t xml:space="preserve">Support </t>
    </r>
    <r>
      <rPr>
        <b/>
        <sz val="11"/>
        <color theme="1"/>
        <rFont val="Calibri"/>
        <family val="2"/>
        <scheme val="minor"/>
      </rPr>
      <t>daily data imports</t>
    </r>
    <r>
      <rPr>
        <sz val="11"/>
        <color theme="1"/>
        <rFont val="Calibri"/>
        <family val="2"/>
        <scheme val="minor"/>
      </rPr>
      <t xml:space="preserve"> from new entries without overwriting existing clean data.</t>
    </r>
  </si>
  <si>
    <t>4.2 Daily Data Entry Form</t>
  </si>
  <si>
    <r>
      <t xml:space="preserve">Design a </t>
    </r>
    <r>
      <rPr>
        <b/>
        <sz val="11"/>
        <color theme="1"/>
        <rFont val="Calibri"/>
        <family val="2"/>
        <scheme val="minor"/>
      </rPr>
      <t>simple Excel form</t>
    </r>
    <r>
      <rPr>
        <sz val="11"/>
        <color theme="1"/>
        <rFont val="Calibri"/>
        <family val="2"/>
        <scheme val="minor"/>
      </rPr>
      <t xml:space="preserve"> for users to enter new records daily.</t>
    </r>
  </si>
  <si>
    <t>Validate input formats (e.g., dates, email format).</t>
  </si>
  <si>
    <t>Prevent duplicate entries on data entry (by ID or Email).</t>
  </si>
  <si>
    <t>Store new data separately until cleaned and merged with master data.</t>
  </si>
  <si>
    <t>4.3 Dashboard &amp; Reporting</t>
  </si>
  <si>
    <t>Summary metrics:</t>
  </si>
  <si>
    <t>Total records</t>
  </si>
  <si>
    <t>Number of duplicates removed</t>
  </si>
  <si>
    <t>Missing values count</t>
  </si>
  <si>
    <t>Average salary by department</t>
  </si>
  <si>
    <t>Number of employees per department</t>
  </si>
  <si>
    <t>Visualizations:</t>
  </si>
  <si>
    <t>Bar chart for employee count by Department</t>
  </si>
  <si>
    <t>Line chart for average Salary over Joining_Date (by year)</t>
  </si>
  <si>
    <t>Pie chart for Department distribution</t>
  </si>
  <si>
    <r>
      <t xml:space="preserve">Provide </t>
    </r>
    <r>
      <rPr>
        <b/>
        <sz val="11"/>
        <color theme="1"/>
        <rFont val="Calibri"/>
        <family val="2"/>
        <scheme val="minor"/>
      </rPr>
      <t>business-related questions</t>
    </r>
    <r>
      <rPr>
        <sz val="11"/>
        <color theme="1"/>
        <rFont val="Calibri"/>
        <family val="2"/>
        <scheme val="minor"/>
      </rPr>
      <t xml:space="preserve"> with filters, such as:</t>
    </r>
  </si>
  <si>
    <t>Which department has the highest salary?</t>
  </si>
  <si>
    <t>How many employees joined in the last year?</t>
  </si>
  <si>
    <t>Which clients provide which services?</t>
  </si>
  <si>
    <t>4.4 Automation &amp; Navigation</t>
  </si>
  <si>
    <r>
      <t xml:space="preserve">Include </t>
    </r>
    <r>
      <rPr>
        <b/>
        <sz val="11"/>
        <color theme="1"/>
        <rFont val="Calibri"/>
        <family val="2"/>
        <scheme val="minor"/>
      </rPr>
      <t>“Refresh Data” button</t>
    </r>
    <r>
      <rPr>
        <sz val="11"/>
        <color theme="1"/>
        <rFont val="Calibri"/>
        <family val="2"/>
        <scheme val="minor"/>
      </rPr>
      <t xml:space="preserve"> to automate:</t>
    </r>
  </si>
  <si>
    <t>Importing daily new data</t>
  </si>
  <si>
    <t>Running data cleaning procedures</t>
  </si>
  <si>
    <t>Updating dashboard visuals automatically</t>
  </si>
  <si>
    <t>Navigation buttons to move between:</t>
  </si>
  <si>
    <t>Data Entry Form</t>
  </si>
  <si>
    <t>Raw Data Sheet</t>
  </si>
  <si>
    <t>Cleaned Data Sheet</t>
  </si>
  <si>
    <t>Dashboard</t>
  </si>
  <si>
    <t>5. Non-Functional Requirements</t>
  </si>
  <si>
    <r>
      <t xml:space="preserve">Ensure </t>
    </r>
    <r>
      <rPr>
        <b/>
        <sz val="11"/>
        <color theme="1"/>
        <rFont val="Calibri"/>
        <family val="2"/>
        <scheme val="minor"/>
      </rPr>
      <t>data security</t>
    </r>
    <r>
      <rPr>
        <sz val="11"/>
        <color theme="1"/>
        <rFont val="Calibri"/>
        <family val="2"/>
        <scheme val="minor"/>
      </rPr>
      <t xml:space="preserve"> for client information.</t>
    </r>
  </si>
  <si>
    <r>
      <t xml:space="preserve">Dashboard should be </t>
    </r>
    <r>
      <rPr>
        <b/>
        <sz val="11"/>
        <color theme="1"/>
        <rFont val="Calibri"/>
        <family val="2"/>
        <scheme val="minor"/>
      </rPr>
      <t>user-friendly, responsive, and visually appealing</t>
    </r>
    <r>
      <rPr>
        <sz val="11"/>
        <color theme="1"/>
        <rFont val="Calibri"/>
        <family val="2"/>
        <scheme val="minor"/>
      </rPr>
      <t>.</t>
    </r>
  </si>
  <si>
    <r>
      <t xml:space="preserve">System must handle </t>
    </r>
    <r>
      <rPr>
        <b/>
        <sz val="11"/>
        <color theme="1"/>
        <rFont val="Calibri"/>
        <family val="2"/>
        <scheme val="minor"/>
      </rPr>
      <t>large datasets (2000+ rows)</t>
    </r>
    <r>
      <rPr>
        <sz val="11"/>
        <color theme="1"/>
        <rFont val="Calibri"/>
        <family val="2"/>
        <scheme val="minor"/>
      </rPr>
      <t xml:space="preserve"> efficiently.</t>
    </r>
  </si>
  <si>
    <r>
      <t xml:space="preserve">Support exporting dashboard and reports as </t>
    </r>
    <r>
      <rPr>
        <b/>
        <sz val="11"/>
        <color theme="1"/>
        <rFont val="Calibri"/>
        <family val="2"/>
        <scheme val="minor"/>
      </rPr>
      <t>Excel or PDF</t>
    </r>
    <r>
      <rPr>
        <sz val="11"/>
        <color theme="1"/>
        <rFont val="Calibri"/>
        <family val="2"/>
        <scheme val="minor"/>
      </rPr>
      <t>.</t>
    </r>
  </si>
  <si>
    <t>6. Example Client Company Data (for reference)</t>
  </si>
  <si>
    <t>Services Provided</t>
  </si>
  <si>
    <t>Phoenix Solutions Ltd</t>
  </si>
  <si>
    <t>IT &amp; Software</t>
  </si>
  <si>
    <t>Web Development, Mobile App Development</t>
  </si>
  <si>
    <t>GreenLeaf Industries</t>
  </si>
  <si>
    <t>Manufacturing</t>
  </si>
  <si>
    <t>ERP Implementation, Inventory Management</t>
  </si>
  <si>
    <t>Bright Future Academy</t>
  </si>
  <si>
    <t>Education</t>
  </si>
  <si>
    <t>E-Learning Platforms, Student Management</t>
  </si>
  <si>
    <t>7. Assumptions &amp; Notes</t>
  </si>
  <si>
    <t>Daily data will be entered via the form and reviewed before merging with the master dataset.</t>
  </si>
  <si>
    <r>
      <t xml:space="preserve">Duplicate detection criteria include matching on </t>
    </r>
    <r>
      <rPr>
        <b/>
        <sz val="11"/>
        <color theme="1"/>
        <rFont val="Calibri"/>
        <family val="2"/>
        <scheme val="minor"/>
      </rPr>
      <t>ID and Email</t>
    </r>
    <r>
      <rPr>
        <sz val="11"/>
        <color theme="1"/>
        <rFont val="Calibri"/>
        <family val="2"/>
        <scheme val="minor"/>
      </rPr>
      <t>.</t>
    </r>
  </si>
  <si>
    <t>Date formats in the original data may vary; standardization will be applied.</t>
  </si>
  <si>
    <t>Services and client companies info will be maintained separately but linked to dashboard insights.</t>
  </si>
  <si>
    <t>Navigation and refresh buttons will be implemented via Excel macros or Power Query.</t>
  </si>
  <si>
    <t>Enter Your Data</t>
  </si>
  <si>
    <t>Grand Total</t>
  </si>
  <si>
    <t>Count of Emp</t>
  </si>
  <si>
    <t>Sum of Salary</t>
  </si>
  <si>
    <t>Average of Salary</t>
  </si>
  <si>
    <t xml:space="preserve"> </t>
  </si>
  <si>
    <t>Count Of Emp</t>
  </si>
  <si>
    <t>Avg Salary</t>
  </si>
  <si>
    <t>Highest Salary</t>
  </si>
  <si>
    <t>Employees Joined in Last 1 Year</t>
  </si>
  <si>
    <t xml:space="preserve">Luna C </t>
  </si>
  <si>
    <t>Marketng Services</t>
  </si>
  <si>
    <t>ss</t>
  </si>
  <si>
    <t>Ani</t>
  </si>
  <si>
    <t>anil.email.com</t>
  </si>
  <si>
    <t>Thank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</si>
</sst>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sz val="24"/>
      <color theme="1"/>
      <name val="Calibri"/>
      <family val="2"/>
      <scheme val="minor"/>
    </font>
    <font>
      <b/>
      <sz val="18"/>
      <color theme="1"/>
      <name val="Calibri"/>
      <family val="2"/>
      <scheme val="minor"/>
    </font>
    <font>
      <sz val="10"/>
      <color theme="1"/>
      <name val="Arial Unicode MS"/>
    </font>
    <font>
      <b/>
      <sz val="13.5"/>
      <color theme="1"/>
      <name val="Calibri"/>
      <family val="2"/>
      <scheme val="minor"/>
    </font>
    <font>
      <u/>
      <sz val="11"/>
      <color theme="1"/>
      <name val="Calibri"/>
      <family val="2"/>
      <scheme val="minor"/>
    </font>
    <font>
      <sz val="72"/>
      <color theme="1"/>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7"/>
        <bgColor indexed="64"/>
      </patternFill>
    </fill>
    <fill>
      <patternFill patternType="solid">
        <fgColor rgb="FF00B050"/>
        <bgColor indexed="64"/>
      </patternFill>
    </fill>
    <fill>
      <patternFill patternType="solid">
        <fgColor theme="8"/>
        <bgColor indexed="64"/>
      </patternFill>
    </fill>
    <fill>
      <patternFill patternType="solid">
        <fgColor theme="5"/>
        <bgColor indexed="64"/>
      </patternFill>
    </fill>
    <fill>
      <patternFill patternType="solid">
        <fgColor them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3" fillId="0" borderId="0" applyNumberFormat="0" applyFill="0" applyBorder="0" applyAlignment="0" applyProtection="0"/>
  </cellStyleXfs>
  <cellXfs count="47">
    <xf numFmtId="0" fontId="0" fillId="0" borderId="0" xfId="0"/>
    <xf numFmtId="0" fontId="2" fillId="0" borderId="0" xfId="0" applyFont="1" applyAlignment="1">
      <alignment horizontal="center" vertical="center" wrapText="1"/>
    </xf>
    <xf numFmtId="0" fontId="0" fillId="0" borderId="0" xfId="0" applyAlignment="1">
      <alignment vertical="center" wrapText="1"/>
    </xf>
    <xf numFmtId="0" fontId="3" fillId="0" borderId="0" xfId="2" applyAlignment="1">
      <alignment vertical="center" wrapText="1"/>
    </xf>
    <xf numFmtId="14" fontId="0" fillId="0" borderId="0" xfId="0" applyNumberFormat="1" applyAlignment="1">
      <alignment vertical="center" wrapText="1"/>
    </xf>
    <xf numFmtId="0" fontId="2" fillId="0" borderId="1" xfId="0" applyFont="1" applyBorder="1" applyAlignment="1">
      <alignment horizontal="center" vertical="center" wrapText="1"/>
    </xf>
    <xf numFmtId="0" fontId="0" fillId="0" borderId="1" xfId="0" applyBorder="1" applyAlignment="1">
      <alignment vertical="center" wrapText="1"/>
    </xf>
    <xf numFmtId="0" fontId="3" fillId="0" borderId="1" xfId="2" applyFill="1" applyBorder="1" applyAlignment="1">
      <alignment vertical="center" wrapText="1"/>
    </xf>
    <xf numFmtId="14" fontId="0" fillId="0" borderId="1" xfId="0" applyNumberFormat="1" applyBorder="1" applyAlignment="1">
      <alignment vertical="center" wrapText="1"/>
    </xf>
    <xf numFmtId="0" fontId="0" fillId="0" borderId="2" xfId="0" applyBorder="1" applyAlignment="1">
      <alignment vertical="center" wrapText="1"/>
    </xf>
    <xf numFmtId="14" fontId="0" fillId="0" borderId="3" xfId="0" applyNumberFormat="1" applyBorder="1" applyAlignment="1">
      <alignment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0" fillId="0" borderId="7" xfId="0" applyBorder="1" applyAlignment="1">
      <alignment vertical="center" wrapText="1"/>
    </xf>
    <xf numFmtId="0" fontId="0" fillId="0" borderId="8" xfId="0" applyBorder="1" applyAlignment="1">
      <alignment vertical="center" wrapText="1"/>
    </xf>
    <xf numFmtId="0" fontId="3" fillId="0" borderId="8" xfId="2" applyFill="1" applyBorder="1" applyAlignment="1">
      <alignment vertical="center" wrapText="1"/>
    </xf>
    <xf numFmtId="14" fontId="0" fillId="0" borderId="8" xfId="0" applyNumberFormat="1" applyBorder="1" applyAlignment="1">
      <alignment vertical="center" wrapText="1"/>
    </xf>
    <xf numFmtId="14" fontId="0" fillId="0" borderId="9" xfId="0" applyNumberFormat="1" applyBorder="1" applyAlignment="1">
      <alignment vertical="center" wrapText="1"/>
    </xf>
    <xf numFmtId="0" fontId="5"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9" fontId="2" fillId="0" borderId="1" xfId="1" applyFont="1" applyBorder="1" applyAlignment="1">
      <alignment horizontal="center" vertical="center" wrapText="1"/>
    </xf>
    <xf numFmtId="9" fontId="0" fillId="0" borderId="1" xfId="1" applyFont="1" applyBorder="1" applyAlignment="1">
      <alignment vertical="center" wrapText="1"/>
    </xf>
    <xf numFmtId="0" fontId="0" fillId="0" borderId="1" xfId="0" applyBorder="1" applyAlignment="1">
      <alignment horizontal="left" vertical="center" indent="1"/>
    </xf>
    <xf numFmtId="0" fontId="0" fillId="0" borderId="1" xfId="0" applyBorder="1" applyAlignment="1">
      <alignment horizontal="left" vertical="center" indent="2"/>
    </xf>
    <xf numFmtId="0" fontId="0" fillId="2" borderId="0" xfId="0" applyFill="1"/>
    <xf numFmtId="0" fontId="0" fillId="3" borderId="0" xfId="0" applyFill="1"/>
    <xf numFmtId="0" fontId="4" fillId="3" borderId="0" xfId="0" applyFont="1" applyFill="1" applyAlignment="1">
      <alignment vertical="center"/>
    </xf>
    <xf numFmtId="0" fontId="0" fillId="3" borderId="0" xfId="0" applyFill="1" applyAlignment="1">
      <alignment vertical="center" wrapText="1"/>
    </xf>
    <xf numFmtId="14" fontId="0" fillId="3" borderId="0" xfId="0" applyNumberFormat="1" applyFill="1" applyAlignment="1">
      <alignment vertical="center" wrapText="1"/>
    </xf>
    <xf numFmtId="0" fontId="0" fillId="4" borderId="0" xfId="0" applyFill="1" applyAlignment="1">
      <alignment vertical="center" wrapText="1"/>
    </xf>
    <xf numFmtId="0" fontId="0" fillId="2" borderId="0" xfId="0" applyFill="1" applyAlignment="1">
      <alignment horizontal="center" vertical="center"/>
    </xf>
    <xf numFmtId="0" fontId="0" fillId="0" borderId="1" xfId="0" applyBorder="1" applyAlignment="1">
      <alignment horizontal="center" vertical="center"/>
    </xf>
    <xf numFmtId="0" fontId="8" fillId="0" borderId="1" xfId="2" applyFont="1" applyFill="1" applyBorder="1" applyAlignment="1">
      <alignment horizontal="center" vertical="center"/>
    </xf>
    <xf numFmtId="14" fontId="0" fillId="0" borderId="1" xfId="0" applyNumberFormat="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vertical="center"/>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0" fillId="7" borderId="0" xfId="0" applyFill="1"/>
    <xf numFmtId="0" fontId="2" fillId="6" borderId="0" xfId="0" applyFont="1" applyFill="1"/>
    <xf numFmtId="0" fontId="0" fillId="5" borderId="0" xfId="0" applyFill="1" applyAlignment="1">
      <alignment horizontal="center"/>
    </xf>
    <xf numFmtId="0" fontId="2" fillId="4" borderId="1" xfId="0" applyFont="1" applyFill="1" applyBorder="1" applyAlignment="1">
      <alignment horizontal="center" vertical="center"/>
    </xf>
    <xf numFmtId="0" fontId="0" fillId="0" borderId="0" xfId="0" applyNumberFormat="1"/>
    <xf numFmtId="0" fontId="9" fillId="0" borderId="0" xfId="0" applyFont="1"/>
  </cellXfs>
  <cellStyles count="3">
    <cellStyle name="Hyperlink" xfId="2" builtinId="8"/>
    <cellStyle name="Normal" xfId="0" builtinId="0"/>
    <cellStyle name="Percent" xfId="1" builtinId="5"/>
  </cellStyles>
  <dxfs count="11">
    <dxf>
      <numFmt numFmtId="164" formatCode="dd/mm/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dd/mm/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D32A2B83-40F0-451F-8ED4-6516EEF8118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[Dashbaord.xlsm]Pivot Table!PivotTable2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Department</a:t>
            </a:r>
            <a:r>
              <a:rPr lang="en-US" baseline="0"/>
              <a:t> wise Emp</a:t>
            </a:r>
            <a:endParaRPr lang="en-US"/>
          </a:p>
        </c:rich>
      </c:tx>
      <c:layout>
        <c:manualLayout>
          <c:xMode val="edge"/>
          <c:yMode val="edge"/>
          <c:x val="0.35747105857707462"/>
          <c:y val="5.38841588753699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Table'!$B$3</c:f>
              <c:strCache>
                <c:ptCount val="1"/>
                <c:pt idx="0">
                  <c:v>Total</c:v>
                </c:pt>
              </c:strCache>
            </c:strRef>
          </c:tx>
          <c:spPr>
            <a:solidFill>
              <a:schemeClr val="accent1"/>
            </a:solidFill>
            <a:ln>
              <a:noFill/>
            </a:ln>
            <a:effectLst/>
          </c:spPr>
          <c:invertIfNegative val="0"/>
          <c:cat>
            <c:strRef>
              <c:f>'Pivot Table'!$A$4:$A$9</c:f>
              <c:strCache>
                <c:ptCount val="5"/>
                <c:pt idx="0">
                  <c:v>Finance</c:v>
                </c:pt>
                <c:pt idx="1">
                  <c:v>HR</c:v>
                </c:pt>
                <c:pt idx="2">
                  <c:v>IT</c:v>
                </c:pt>
                <c:pt idx="3">
                  <c:v>Marketing</c:v>
                </c:pt>
                <c:pt idx="4">
                  <c:v>Sales</c:v>
                </c:pt>
              </c:strCache>
            </c:strRef>
          </c:cat>
          <c:val>
            <c:numRef>
              <c:f>'Pivot Table'!$B$4:$B$9</c:f>
              <c:numCache>
                <c:formatCode>General</c:formatCode>
                <c:ptCount val="5"/>
                <c:pt idx="0">
                  <c:v>8</c:v>
                </c:pt>
                <c:pt idx="1">
                  <c:v>8</c:v>
                </c:pt>
                <c:pt idx="2">
                  <c:v>8</c:v>
                </c:pt>
                <c:pt idx="3">
                  <c:v>7</c:v>
                </c:pt>
                <c:pt idx="4">
                  <c:v>7</c:v>
                </c:pt>
              </c:numCache>
            </c:numRef>
          </c:val>
          <c:extLst>
            <c:ext xmlns:c16="http://schemas.microsoft.com/office/drawing/2014/chart" uri="{C3380CC4-5D6E-409C-BE32-E72D297353CC}">
              <c16:uniqueId val="{00000000-24F3-46C2-A32C-3B5579A8AB4B}"/>
            </c:ext>
          </c:extLst>
        </c:ser>
        <c:dLbls>
          <c:showLegendKey val="0"/>
          <c:showVal val="0"/>
          <c:showCatName val="0"/>
          <c:showSerName val="0"/>
          <c:showPercent val="0"/>
          <c:showBubbleSize val="0"/>
        </c:dLbls>
        <c:gapWidth val="182"/>
        <c:axId val="1600042863"/>
        <c:axId val="1600030863"/>
      </c:barChart>
      <c:catAx>
        <c:axId val="16000428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030863"/>
        <c:crosses val="autoZero"/>
        <c:auto val="1"/>
        <c:lblAlgn val="ctr"/>
        <c:lblOffset val="100"/>
        <c:noMultiLvlLbl val="0"/>
      </c:catAx>
      <c:valAx>
        <c:axId val="1600030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042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[Dashbaord.xlsm]Pivot Table!PivotTable3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Table'!$B$18</c:f>
              <c:strCache>
                <c:ptCount val="1"/>
                <c:pt idx="0">
                  <c:v>Total</c:v>
                </c:pt>
              </c:strCache>
            </c:strRef>
          </c:tx>
          <c:spPr>
            <a:solidFill>
              <a:schemeClr val="accent1"/>
            </a:solidFill>
            <a:ln>
              <a:noFill/>
            </a:ln>
            <a:effectLst/>
          </c:spPr>
          <c:invertIfNegative val="0"/>
          <c:cat>
            <c:strRef>
              <c:f>'Pivot Table'!$A$19:$A$24</c:f>
              <c:strCache>
                <c:ptCount val="5"/>
                <c:pt idx="0">
                  <c:v>Finance</c:v>
                </c:pt>
                <c:pt idx="1">
                  <c:v>HR</c:v>
                </c:pt>
                <c:pt idx="2">
                  <c:v>IT</c:v>
                </c:pt>
                <c:pt idx="3">
                  <c:v>Marketing</c:v>
                </c:pt>
                <c:pt idx="4">
                  <c:v>Sales</c:v>
                </c:pt>
              </c:strCache>
            </c:strRef>
          </c:cat>
          <c:val>
            <c:numRef>
              <c:f>'Pivot Table'!$B$19:$B$24</c:f>
              <c:numCache>
                <c:formatCode>General</c:formatCode>
                <c:ptCount val="5"/>
                <c:pt idx="0">
                  <c:v>449000</c:v>
                </c:pt>
                <c:pt idx="1">
                  <c:v>397500</c:v>
                </c:pt>
                <c:pt idx="2">
                  <c:v>453500</c:v>
                </c:pt>
                <c:pt idx="3">
                  <c:v>361500</c:v>
                </c:pt>
                <c:pt idx="4">
                  <c:v>339000</c:v>
                </c:pt>
              </c:numCache>
            </c:numRef>
          </c:val>
          <c:extLst>
            <c:ext xmlns:c16="http://schemas.microsoft.com/office/drawing/2014/chart" uri="{C3380CC4-5D6E-409C-BE32-E72D297353CC}">
              <c16:uniqueId val="{00000000-9FCC-44E9-9372-B8BACA8F5067}"/>
            </c:ext>
          </c:extLst>
        </c:ser>
        <c:dLbls>
          <c:showLegendKey val="0"/>
          <c:showVal val="0"/>
          <c:showCatName val="0"/>
          <c:showSerName val="0"/>
          <c:showPercent val="0"/>
          <c:showBubbleSize val="0"/>
        </c:dLbls>
        <c:gapWidth val="219"/>
        <c:axId val="1600075023"/>
        <c:axId val="1600056783"/>
      </c:barChart>
      <c:catAx>
        <c:axId val="1600075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056783"/>
        <c:crosses val="autoZero"/>
        <c:auto val="1"/>
        <c:lblAlgn val="ctr"/>
        <c:lblOffset val="100"/>
        <c:noMultiLvlLbl val="0"/>
      </c:catAx>
      <c:valAx>
        <c:axId val="1600056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075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[Dashbaord.xlsm]Pivot Table!PivotTable4</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Table'!$B$35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856-45EF-9EBE-654CF785CD9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856-45EF-9EBE-654CF785CD9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856-45EF-9EBE-654CF785CD9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856-45EF-9EBE-654CF785CD9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F856-45EF-9EBE-654CF785CD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Table'!$A$36:$A$41</c:f>
              <c:strCache>
                <c:ptCount val="5"/>
                <c:pt idx="0">
                  <c:v>Finance</c:v>
                </c:pt>
                <c:pt idx="1">
                  <c:v>HR</c:v>
                </c:pt>
                <c:pt idx="2">
                  <c:v>IT</c:v>
                </c:pt>
                <c:pt idx="3">
                  <c:v>Marketing</c:v>
                </c:pt>
                <c:pt idx="4">
                  <c:v>Sales</c:v>
                </c:pt>
              </c:strCache>
            </c:strRef>
          </c:cat>
          <c:val>
            <c:numRef>
              <c:f>'Pivot Table'!$B$36:$B$41</c:f>
              <c:numCache>
                <c:formatCode>General</c:formatCode>
                <c:ptCount val="5"/>
                <c:pt idx="0">
                  <c:v>8</c:v>
                </c:pt>
                <c:pt idx="1">
                  <c:v>8</c:v>
                </c:pt>
                <c:pt idx="2">
                  <c:v>8</c:v>
                </c:pt>
                <c:pt idx="3">
                  <c:v>7</c:v>
                </c:pt>
                <c:pt idx="4">
                  <c:v>7</c:v>
                </c:pt>
              </c:numCache>
            </c:numRef>
          </c:val>
          <c:extLst>
            <c:ext xmlns:c16="http://schemas.microsoft.com/office/drawing/2014/chart" uri="{C3380CC4-5D6E-409C-BE32-E72D297353CC}">
              <c16:uniqueId val="{0000000A-F856-45EF-9EBE-654CF785CD9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[Dashbaord.xlsm]Pivot Table!PivotTable5</c:name>
    <c:fmtId val="11"/>
  </c:pivotSource>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Table'!$B$69</c:f>
              <c:strCache>
                <c:ptCount val="1"/>
                <c:pt idx="0">
                  <c:v>Total</c:v>
                </c:pt>
              </c:strCache>
            </c:strRef>
          </c:tx>
          <c:spPr>
            <a:solidFill>
              <a:schemeClr val="accent1"/>
            </a:solidFill>
            <a:ln>
              <a:noFill/>
            </a:ln>
            <a:effectLst/>
          </c:spPr>
          <c:invertIfNegative val="0"/>
          <c:cat>
            <c:strRef>
              <c:f>'Pivot Table'!$A$70:$A$75</c:f>
              <c:strCache>
                <c:ptCount val="5"/>
                <c:pt idx="0">
                  <c:v>Finance</c:v>
                </c:pt>
                <c:pt idx="1">
                  <c:v>HR</c:v>
                </c:pt>
                <c:pt idx="2">
                  <c:v>IT</c:v>
                </c:pt>
                <c:pt idx="3">
                  <c:v>Marketing</c:v>
                </c:pt>
                <c:pt idx="4">
                  <c:v>Sales</c:v>
                </c:pt>
              </c:strCache>
            </c:strRef>
          </c:cat>
          <c:val>
            <c:numRef>
              <c:f>'Pivot Table'!$B$70:$B$75</c:f>
              <c:numCache>
                <c:formatCode>General</c:formatCode>
                <c:ptCount val="5"/>
                <c:pt idx="0">
                  <c:v>449000</c:v>
                </c:pt>
                <c:pt idx="1">
                  <c:v>397500</c:v>
                </c:pt>
                <c:pt idx="2">
                  <c:v>453500</c:v>
                </c:pt>
                <c:pt idx="3">
                  <c:v>361500</c:v>
                </c:pt>
                <c:pt idx="4">
                  <c:v>339000</c:v>
                </c:pt>
              </c:numCache>
            </c:numRef>
          </c:val>
          <c:extLst>
            <c:ext xmlns:c16="http://schemas.microsoft.com/office/drawing/2014/chart" uri="{C3380CC4-5D6E-409C-BE32-E72D297353CC}">
              <c16:uniqueId val="{00000000-075F-4382-BE38-0F3CEBA7D0FC}"/>
            </c:ext>
          </c:extLst>
        </c:ser>
        <c:dLbls>
          <c:showLegendKey val="0"/>
          <c:showVal val="0"/>
          <c:showCatName val="0"/>
          <c:showSerName val="0"/>
          <c:showPercent val="0"/>
          <c:showBubbleSize val="0"/>
        </c:dLbls>
        <c:gapWidth val="182"/>
        <c:axId val="822600584"/>
        <c:axId val="822602384"/>
      </c:barChart>
      <c:catAx>
        <c:axId val="82260058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02384"/>
        <c:crosses val="autoZero"/>
        <c:auto val="1"/>
        <c:lblAlgn val="ctr"/>
        <c:lblOffset val="100"/>
        <c:noMultiLvlLbl val="0"/>
      </c:catAx>
      <c:valAx>
        <c:axId val="822602384"/>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26005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7.sv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sv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6</xdr:col>
      <xdr:colOff>232398</xdr:colOff>
      <xdr:row>4</xdr:row>
      <xdr:rowOff>181005</xdr:rowOff>
    </xdr:from>
    <xdr:to>
      <xdr:col>14</xdr:col>
      <xdr:colOff>720223</xdr:colOff>
      <xdr:row>17</xdr:row>
      <xdr:rowOff>147200</xdr:rowOff>
    </xdr:to>
    <xdr:graphicFrame macro="">
      <xdr:nvGraphicFramePr>
        <xdr:cNvPr id="5" name="Chart 4">
          <a:extLst>
            <a:ext uri="{FF2B5EF4-FFF2-40B4-BE49-F238E27FC236}">
              <a16:creationId xmlns:a16="http://schemas.microsoft.com/office/drawing/2014/main" id="{CA87F7A0-DB66-414F-9067-8A4A431AE6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246789</xdr:colOff>
      <xdr:row>18</xdr:row>
      <xdr:rowOff>149306</xdr:rowOff>
    </xdr:from>
    <xdr:to>
      <xdr:col>14</xdr:col>
      <xdr:colOff>701602</xdr:colOff>
      <xdr:row>33</xdr:row>
      <xdr:rowOff>36764</xdr:rowOff>
    </xdr:to>
    <xdr:graphicFrame macro="">
      <xdr:nvGraphicFramePr>
        <xdr:cNvPr id="6" name="Chart 5">
          <a:extLst>
            <a:ext uri="{FF2B5EF4-FFF2-40B4-BE49-F238E27FC236}">
              <a16:creationId xmlns:a16="http://schemas.microsoft.com/office/drawing/2014/main" id="{F787BDDF-696B-4ED0-A9F6-C179CEDAA9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100060</xdr:colOff>
      <xdr:row>4</xdr:row>
      <xdr:rowOff>174807</xdr:rowOff>
    </xdr:from>
    <xdr:to>
      <xdr:col>23</xdr:col>
      <xdr:colOff>2395</xdr:colOff>
      <xdr:row>17</xdr:row>
      <xdr:rowOff>161003</xdr:rowOff>
    </xdr:to>
    <xdr:graphicFrame macro="">
      <xdr:nvGraphicFramePr>
        <xdr:cNvPr id="7" name="Chart 6">
          <a:extLst>
            <a:ext uri="{FF2B5EF4-FFF2-40B4-BE49-F238E27FC236}">
              <a16:creationId xmlns:a16="http://schemas.microsoft.com/office/drawing/2014/main" id="{45128691-A9D5-484B-A7E7-B1092B83F6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109027</xdr:colOff>
      <xdr:row>18</xdr:row>
      <xdr:rowOff>147199</xdr:rowOff>
    </xdr:from>
    <xdr:to>
      <xdr:col>23</xdr:col>
      <xdr:colOff>2395</xdr:colOff>
      <xdr:row>32</xdr:row>
      <xdr:rowOff>184747</xdr:rowOff>
    </xdr:to>
    <xdr:graphicFrame macro="">
      <xdr:nvGraphicFramePr>
        <xdr:cNvPr id="8" name="Chart 7">
          <a:extLst>
            <a:ext uri="{FF2B5EF4-FFF2-40B4-BE49-F238E27FC236}">
              <a16:creationId xmlns:a16="http://schemas.microsoft.com/office/drawing/2014/main" id="{445A0B8D-438F-43E0-BCA7-CFE599AD9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157484</xdr:colOff>
      <xdr:row>4</xdr:row>
      <xdr:rowOff>185091</xdr:rowOff>
    </xdr:from>
    <xdr:to>
      <xdr:col>4</xdr:col>
      <xdr:colOff>358913</xdr:colOff>
      <xdr:row>35</xdr:row>
      <xdr:rowOff>0</xdr:rowOff>
    </xdr:to>
    <xdr:sp macro="" textlink="">
      <xdr:nvSpPr>
        <xdr:cNvPr id="10" name="Rectangle 9">
          <a:extLst>
            <a:ext uri="{FF2B5EF4-FFF2-40B4-BE49-F238E27FC236}">
              <a16:creationId xmlns:a16="http://schemas.microsoft.com/office/drawing/2014/main" id="{5B674220-B281-0B95-42B7-E918F4FB6525}"/>
            </a:ext>
          </a:extLst>
        </xdr:cNvPr>
        <xdr:cNvSpPr/>
      </xdr:nvSpPr>
      <xdr:spPr>
        <a:xfrm>
          <a:off x="157484" y="958134"/>
          <a:ext cx="2630994" cy="5805996"/>
        </a:xfrm>
        <a:prstGeom prst="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71136</xdr:colOff>
      <xdr:row>0</xdr:row>
      <xdr:rowOff>87473</xdr:rowOff>
    </xdr:from>
    <xdr:to>
      <xdr:col>9</xdr:col>
      <xdr:colOff>129450</xdr:colOff>
      <xdr:row>3</xdr:row>
      <xdr:rowOff>110433</xdr:rowOff>
    </xdr:to>
    <xdr:sp macro="" textlink="">
      <xdr:nvSpPr>
        <xdr:cNvPr id="11" name="Rectangle 10">
          <a:extLst>
            <a:ext uri="{FF2B5EF4-FFF2-40B4-BE49-F238E27FC236}">
              <a16:creationId xmlns:a16="http://schemas.microsoft.com/office/drawing/2014/main" id="{94F2EE21-9E17-539A-12CB-0BC92DD15667}"/>
            </a:ext>
          </a:extLst>
        </xdr:cNvPr>
        <xdr:cNvSpPr/>
      </xdr:nvSpPr>
      <xdr:spPr>
        <a:xfrm>
          <a:off x="71136" y="87473"/>
          <a:ext cx="5635271" cy="602743"/>
        </a:xfrm>
        <a:prstGeom prst="rect">
          <a:avLst/>
        </a:prstGeom>
        <a:solidFill>
          <a:schemeClr val="accent5"/>
        </a:solidFill>
        <a:effectLst>
          <a:glow rad="63500">
            <a:schemeClr val="accent5">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accent4">
                  <a:lumMod val="75000"/>
                </a:schemeClr>
              </a:solidFill>
            </a:rPr>
            <a:t>LUNA</a:t>
          </a:r>
          <a:r>
            <a:rPr lang="en-IN" sz="2400" b="1" baseline="0">
              <a:solidFill>
                <a:schemeClr val="accent4">
                  <a:lumMod val="75000"/>
                </a:schemeClr>
              </a:solidFill>
            </a:rPr>
            <a:t> </a:t>
          </a:r>
          <a:r>
            <a:rPr lang="en-IN" sz="3200" b="1" baseline="0">
              <a:solidFill>
                <a:schemeClr val="tx1"/>
              </a:solidFill>
            </a:rPr>
            <a:t>C</a:t>
          </a:r>
          <a:r>
            <a:rPr lang="en-IN" sz="2400" b="1" baseline="0">
              <a:solidFill>
                <a:schemeClr val="accent4">
                  <a:lumMod val="75000"/>
                </a:schemeClr>
              </a:solidFill>
            </a:rPr>
            <a:t>                       </a:t>
          </a:r>
          <a:r>
            <a:rPr lang="en-IN" sz="1800" b="1" baseline="0">
              <a:solidFill>
                <a:schemeClr val="lt1"/>
              </a:solidFill>
            </a:rPr>
            <a:t>Employee Details Dashboard</a:t>
          </a:r>
          <a:r>
            <a:rPr lang="en-IN" sz="1800" b="1" baseline="0"/>
            <a:t> </a:t>
          </a:r>
          <a:endParaRPr lang="en-IN" sz="1100" b="1"/>
        </a:p>
      </xdr:txBody>
    </xdr:sp>
    <xdr:clientData/>
  </xdr:twoCellAnchor>
  <xdr:twoCellAnchor editAs="oneCell">
    <xdr:from>
      <xdr:col>20</xdr:col>
      <xdr:colOff>100876</xdr:colOff>
      <xdr:row>1</xdr:row>
      <xdr:rowOff>15938</xdr:rowOff>
    </xdr:from>
    <xdr:to>
      <xdr:col>20</xdr:col>
      <xdr:colOff>547870</xdr:colOff>
      <xdr:row>3</xdr:row>
      <xdr:rowOff>5732</xdr:rowOff>
    </xdr:to>
    <xdr:pic macro="[0]!Module2.MinimizeScreen">
      <xdr:nvPicPr>
        <xdr:cNvPr id="12" name="Picture 11">
          <a:extLst>
            <a:ext uri="{FF2B5EF4-FFF2-40B4-BE49-F238E27FC236}">
              <a16:creationId xmlns:a16="http://schemas.microsoft.com/office/drawing/2014/main" id="{EC594534-5D62-4ABA-85F3-84214794032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502815" y="210326"/>
          <a:ext cx="446994" cy="378569"/>
        </a:xfrm>
        <a:prstGeom prst="rect">
          <a:avLst/>
        </a:prstGeom>
      </xdr:spPr>
    </xdr:pic>
    <xdr:clientData/>
  </xdr:twoCellAnchor>
  <xdr:twoCellAnchor editAs="oneCell">
    <xdr:from>
      <xdr:col>19</xdr:col>
      <xdr:colOff>129516</xdr:colOff>
      <xdr:row>1</xdr:row>
      <xdr:rowOff>0</xdr:rowOff>
    </xdr:from>
    <xdr:to>
      <xdr:col>19</xdr:col>
      <xdr:colOff>531966</xdr:colOff>
      <xdr:row>3</xdr:row>
      <xdr:rowOff>21451</xdr:rowOff>
    </xdr:to>
    <xdr:pic macro="[0]!Module2.Fullscreenn">
      <xdr:nvPicPr>
        <xdr:cNvPr id="13" name="Picture 12">
          <a:extLst>
            <a:ext uri="{FF2B5EF4-FFF2-40B4-BE49-F238E27FC236}">
              <a16:creationId xmlns:a16="http://schemas.microsoft.com/office/drawing/2014/main" id="{024AAEEE-39E7-4715-A93A-8F2FE660C1B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919133" y="194388"/>
          <a:ext cx="402450" cy="410226"/>
        </a:xfrm>
        <a:prstGeom prst="rect">
          <a:avLst/>
        </a:prstGeom>
      </xdr:spPr>
    </xdr:pic>
    <xdr:clientData/>
  </xdr:twoCellAnchor>
  <xdr:twoCellAnchor editAs="oneCell">
    <xdr:from>
      <xdr:col>18</xdr:col>
      <xdr:colOff>0</xdr:colOff>
      <xdr:row>1</xdr:row>
      <xdr:rowOff>22151</xdr:rowOff>
    </xdr:from>
    <xdr:to>
      <xdr:col>18</xdr:col>
      <xdr:colOff>552112</xdr:colOff>
      <xdr:row>3</xdr:row>
      <xdr:rowOff>7363</xdr:rowOff>
    </xdr:to>
    <xdr:pic macro="[0]!Module1.Fullscreen">
      <xdr:nvPicPr>
        <xdr:cNvPr id="14" name="Picture 13">
          <a:extLst>
            <a:ext uri="{FF2B5EF4-FFF2-40B4-BE49-F238E27FC236}">
              <a16:creationId xmlns:a16="http://schemas.microsoft.com/office/drawing/2014/main" id="{0C912DC0-4A7C-4C3F-9CBA-FE0D106600D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177296" y="216539"/>
          <a:ext cx="552112" cy="373987"/>
        </a:xfrm>
        <a:prstGeom prst="rect">
          <a:avLst/>
        </a:prstGeom>
      </xdr:spPr>
    </xdr:pic>
    <xdr:clientData/>
  </xdr:twoCellAnchor>
  <xdr:twoCellAnchor>
    <xdr:from>
      <xdr:col>9</xdr:col>
      <xdr:colOff>336940</xdr:colOff>
      <xdr:row>0</xdr:row>
      <xdr:rowOff>0</xdr:rowOff>
    </xdr:from>
    <xdr:to>
      <xdr:col>12</xdr:col>
      <xdr:colOff>41414</xdr:colOff>
      <xdr:row>4</xdr:row>
      <xdr:rowOff>96631</xdr:rowOff>
    </xdr:to>
    <xdr:sp macro="" textlink="">
      <xdr:nvSpPr>
        <xdr:cNvPr id="15" name="Rectangle 14">
          <a:extLst>
            <a:ext uri="{FF2B5EF4-FFF2-40B4-BE49-F238E27FC236}">
              <a16:creationId xmlns:a16="http://schemas.microsoft.com/office/drawing/2014/main" id="{BCDCE46B-EF7B-9B38-13DE-C045D30BB7C8}"/>
            </a:ext>
          </a:extLst>
        </xdr:cNvPr>
        <xdr:cNvSpPr/>
      </xdr:nvSpPr>
      <xdr:spPr>
        <a:xfrm>
          <a:off x="5913897" y="0"/>
          <a:ext cx="1526647" cy="869674"/>
        </a:xfrm>
        <a:prstGeom prst="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323137</xdr:colOff>
      <xdr:row>0</xdr:row>
      <xdr:rowOff>13805</xdr:rowOff>
    </xdr:from>
    <xdr:to>
      <xdr:col>14</xdr:col>
      <xdr:colOff>704023</xdr:colOff>
      <xdr:row>4</xdr:row>
      <xdr:rowOff>110436</xdr:rowOff>
    </xdr:to>
    <xdr:sp macro="" textlink="">
      <xdr:nvSpPr>
        <xdr:cNvPr id="16" name="Rectangle 15">
          <a:extLst>
            <a:ext uri="{FF2B5EF4-FFF2-40B4-BE49-F238E27FC236}">
              <a16:creationId xmlns:a16="http://schemas.microsoft.com/office/drawing/2014/main" id="{A28E2406-A78D-A866-F330-C097BC21C04D}"/>
            </a:ext>
          </a:extLst>
        </xdr:cNvPr>
        <xdr:cNvSpPr/>
      </xdr:nvSpPr>
      <xdr:spPr>
        <a:xfrm>
          <a:off x="7722267" y="13805"/>
          <a:ext cx="1526647" cy="869674"/>
        </a:xfrm>
        <a:prstGeom prst="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185092</xdr:colOff>
      <xdr:row>12</xdr:row>
      <xdr:rowOff>47047</xdr:rowOff>
    </xdr:from>
    <xdr:to>
      <xdr:col>4</xdr:col>
      <xdr:colOff>276087</xdr:colOff>
      <xdr:row>30</xdr:row>
      <xdr:rowOff>1</xdr:rowOff>
    </xdr:to>
    <mc:AlternateContent xmlns:mc="http://schemas.openxmlformats.org/markup-compatibility/2006" xmlns:a14="http://schemas.microsoft.com/office/drawing/2010/main">
      <mc:Choice Requires="a14">
        <xdr:graphicFrame macro="">
          <xdr:nvGraphicFramePr>
            <xdr:cNvPr id="19" name="Name">
              <a:extLst>
                <a:ext uri="{FF2B5EF4-FFF2-40B4-BE49-F238E27FC236}">
                  <a16:creationId xmlns:a16="http://schemas.microsoft.com/office/drawing/2014/main" id="{1431C8BC-A9A2-48E8-8A50-D0C1087DB817}"/>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85092" y="2366177"/>
              <a:ext cx="2520560" cy="3431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233408</xdr:colOff>
      <xdr:row>5</xdr:row>
      <xdr:rowOff>164383</xdr:rowOff>
    </xdr:from>
    <xdr:to>
      <xdr:col>4</xdr:col>
      <xdr:colOff>262283</xdr:colOff>
      <xdr:row>9</xdr:row>
      <xdr:rowOff>593586</xdr:rowOff>
    </xdr:to>
    <mc:AlternateContent xmlns:mc="http://schemas.openxmlformats.org/markup-compatibility/2006" xmlns:a14="http://schemas.microsoft.com/office/drawing/2010/main">
      <mc:Choice Requires="a14">
        <xdr:graphicFrame macro="">
          <xdr:nvGraphicFramePr>
            <xdr:cNvPr id="20" name="Department">
              <a:extLst>
                <a:ext uri="{FF2B5EF4-FFF2-40B4-BE49-F238E27FC236}">
                  <a16:creationId xmlns:a16="http://schemas.microsoft.com/office/drawing/2014/main" id="{D48F33A9-DDBE-467D-B95D-6A4B48FB4427}"/>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33408" y="1130687"/>
              <a:ext cx="2458440" cy="12022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27609</xdr:colOff>
      <xdr:row>2</xdr:row>
      <xdr:rowOff>179456</xdr:rowOff>
    </xdr:from>
    <xdr:to>
      <xdr:col>11</xdr:col>
      <xdr:colOff>538370</xdr:colOff>
      <xdr:row>4</xdr:row>
      <xdr:rowOff>55217</xdr:rowOff>
    </xdr:to>
    <xdr:sp macro="" textlink="'Pivot Table'!B58">
      <xdr:nvSpPr>
        <xdr:cNvPr id="21" name="TextBox 20">
          <a:extLst>
            <a:ext uri="{FF2B5EF4-FFF2-40B4-BE49-F238E27FC236}">
              <a16:creationId xmlns:a16="http://schemas.microsoft.com/office/drawing/2014/main" id="{10A661F4-EA59-B436-E6C2-F14E426D61CB}"/>
            </a:ext>
          </a:extLst>
        </xdr:cNvPr>
        <xdr:cNvSpPr txBox="1"/>
      </xdr:nvSpPr>
      <xdr:spPr>
        <a:xfrm>
          <a:off x="6211957" y="565978"/>
          <a:ext cx="1118152" cy="262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7B78F2-D848-49D1-A6F3-83347D57CC0B}" type="TxLink">
            <a:rPr lang="en-US" sz="1400" b="1" i="0" u="none" strike="noStrike">
              <a:solidFill>
                <a:srgbClr val="000000"/>
              </a:solidFill>
              <a:latin typeface="Calibri"/>
              <a:cs typeface="Calibri"/>
            </a:rPr>
            <a:pPr/>
            <a:t>56687.5</a:t>
          </a:fld>
          <a:endParaRPr lang="en-IN" sz="1400" b="1"/>
        </a:p>
      </xdr:txBody>
    </xdr:sp>
    <xdr:clientData/>
  </xdr:twoCellAnchor>
  <xdr:twoCellAnchor>
    <xdr:from>
      <xdr:col>9</xdr:col>
      <xdr:colOff>357031</xdr:colOff>
      <xdr:row>0</xdr:row>
      <xdr:rowOff>68392</xdr:rowOff>
    </xdr:from>
    <xdr:to>
      <xdr:col>11</xdr:col>
      <xdr:colOff>481270</xdr:colOff>
      <xdr:row>1</xdr:row>
      <xdr:rowOff>137413</xdr:rowOff>
    </xdr:to>
    <xdr:sp macro="" textlink="'Pivot Table'!B58">
      <xdr:nvSpPr>
        <xdr:cNvPr id="22" name="TextBox 21">
          <a:extLst>
            <a:ext uri="{FF2B5EF4-FFF2-40B4-BE49-F238E27FC236}">
              <a16:creationId xmlns:a16="http://schemas.microsoft.com/office/drawing/2014/main" id="{0A24C2FD-657D-8E28-2B99-60B55C5847CB}"/>
            </a:ext>
          </a:extLst>
        </xdr:cNvPr>
        <xdr:cNvSpPr txBox="1"/>
      </xdr:nvSpPr>
      <xdr:spPr>
        <a:xfrm>
          <a:off x="5927713" y="68392"/>
          <a:ext cx="1336512" cy="256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Highest</a:t>
          </a:r>
          <a:r>
            <a:rPr lang="en-IN" sz="1400" b="1" baseline="0">
              <a:solidFill>
                <a:schemeClr val="bg1"/>
              </a:solidFill>
            </a:rPr>
            <a:t> Salary</a:t>
          </a:r>
          <a:endParaRPr lang="en-IN" sz="1400" b="1">
            <a:solidFill>
              <a:schemeClr val="bg1"/>
            </a:solidFill>
          </a:endParaRPr>
        </a:p>
      </xdr:txBody>
    </xdr:sp>
    <xdr:clientData/>
  </xdr:twoCellAnchor>
  <xdr:twoCellAnchor editAs="oneCell">
    <xdr:from>
      <xdr:col>11</xdr:col>
      <xdr:colOff>193261</xdr:colOff>
      <xdr:row>0</xdr:row>
      <xdr:rowOff>82828</xdr:rowOff>
    </xdr:from>
    <xdr:to>
      <xdr:col>12</xdr:col>
      <xdr:colOff>93179</xdr:colOff>
      <xdr:row>2</xdr:row>
      <xdr:rowOff>27610</xdr:rowOff>
    </xdr:to>
    <xdr:pic>
      <xdr:nvPicPr>
        <xdr:cNvPr id="24" name="Graphic 23" descr="Dollar with solid fill">
          <a:extLst>
            <a:ext uri="{FF2B5EF4-FFF2-40B4-BE49-F238E27FC236}">
              <a16:creationId xmlns:a16="http://schemas.microsoft.com/office/drawing/2014/main" id="{8B602B97-EE9B-F325-65FF-0B33AD36EF4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985000" y="82828"/>
          <a:ext cx="507309" cy="331304"/>
        </a:xfrm>
        <a:prstGeom prst="rect">
          <a:avLst/>
        </a:prstGeom>
      </xdr:spPr>
    </xdr:pic>
    <xdr:clientData/>
  </xdr:twoCellAnchor>
  <xdr:twoCellAnchor>
    <xdr:from>
      <xdr:col>12</xdr:col>
      <xdr:colOff>489427</xdr:colOff>
      <xdr:row>2</xdr:row>
      <xdr:rowOff>136160</xdr:rowOff>
    </xdr:from>
    <xdr:to>
      <xdr:col>14</xdr:col>
      <xdr:colOff>466211</xdr:colOff>
      <xdr:row>4</xdr:row>
      <xdr:rowOff>86590</xdr:rowOff>
    </xdr:to>
    <xdr:sp macro="" textlink="'Pivot Table'!B10">
      <xdr:nvSpPr>
        <xdr:cNvPr id="25" name="TextBox 24">
          <a:extLst>
            <a:ext uri="{FF2B5EF4-FFF2-40B4-BE49-F238E27FC236}">
              <a16:creationId xmlns:a16="http://schemas.microsoft.com/office/drawing/2014/main" id="{3E11EE2D-5F93-EBF6-AEF6-ECDF8448587C}"/>
            </a:ext>
          </a:extLst>
        </xdr:cNvPr>
        <xdr:cNvSpPr txBox="1"/>
      </xdr:nvSpPr>
      <xdr:spPr>
        <a:xfrm>
          <a:off x="7878518" y="511387"/>
          <a:ext cx="1116898" cy="325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0A6A58-2743-4887-9DC7-C083E11F2E5F}" type="TxLink">
            <a:rPr lang="en-US" sz="1800" b="1" i="0" u="none" strike="noStrike">
              <a:solidFill>
                <a:srgbClr val="000000"/>
              </a:solidFill>
              <a:latin typeface="Calibri"/>
              <a:cs typeface="Calibri"/>
            </a:rPr>
            <a:pPr algn="ctr"/>
            <a:t>38</a:t>
          </a:fld>
          <a:endParaRPr lang="en-IN" sz="2400" b="1"/>
        </a:p>
      </xdr:txBody>
    </xdr:sp>
    <xdr:clientData/>
  </xdr:twoCellAnchor>
  <xdr:twoCellAnchor>
    <xdr:from>
      <xdr:col>12</xdr:col>
      <xdr:colOff>400327</xdr:colOff>
      <xdr:row>0</xdr:row>
      <xdr:rowOff>82825</xdr:rowOff>
    </xdr:from>
    <xdr:to>
      <xdr:col>14</xdr:col>
      <xdr:colOff>596725</xdr:colOff>
      <xdr:row>1</xdr:row>
      <xdr:rowOff>151846</xdr:rowOff>
    </xdr:to>
    <xdr:sp macro="" textlink="'Pivot Table'!B58">
      <xdr:nvSpPr>
        <xdr:cNvPr id="26" name="TextBox 25">
          <a:extLst>
            <a:ext uri="{FF2B5EF4-FFF2-40B4-BE49-F238E27FC236}">
              <a16:creationId xmlns:a16="http://schemas.microsoft.com/office/drawing/2014/main" id="{C6888322-D934-43FB-7E73-C759D36F8033}"/>
            </a:ext>
          </a:extLst>
        </xdr:cNvPr>
        <xdr:cNvSpPr txBox="1"/>
      </xdr:nvSpPr>
      <xdr:spPr>
        <a:xfrm>
          <a:off x="7789418" y="82825"/>
          <a:ext cx="1336512" cy="256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Total</a:t>
          </a:r>
          <a:r>
            <a:rPr lang="en-IN" sz="1400" b="1" baseline="0">
              <a:solidFill>
                <a:schemeClr val="bg1"/>
              </a:solidFill>
            </a:rPr>
            <a:t> Emp</a:t>
          </a:r>
          <a:endParaRPr lang="en-IN" sz="1400" b="1">
            <a:solidFill>
              <a:schemeClr val="bg1"/>
            </a:solidFill>
          </a:endParaRPr>
        </a:p>
      </xdr:txBody>
    </xdr:sp>
    <xdr:clientData/>
  </xdr:twoCellAnchor>
  <xdr:twoCellAnchor editAs="oneCell">
    <xdr:from>
      <xdr:col>14</xdr:col>
      <xdr:colOff>303067</xdr:colOff>
      <xdr:row>0</xdr:row>
      <xdr:rowOff>72159</xdr:rowOff>
    </xdr:from>
    <xdr:to>
      <xdr:col>14</xdr:col>
      <xdr:colOff>721590</xdr:colOff>
      <xdr:row>2</xdr:row>
      <xdr:rowOff>144318</xdr:rowOff>
    </xdr:to>
    <xdr:pic>
      <xdr:nvPicPr>
        <xdr:cNvPr id="28" name="Graphic 27" descr="Confused person with solid fill">
          <a:extLst>
            <a:ext uri="{FF2B5EF4-FFF2-40B4-BE49-F238E27FC236}">
              <a16:creationId xmlns:a16="http://schemas.microsoft.com/office/drawing/2014/main" id="{11AA27C5-C743-2937-ACE6-FDA1148426B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8832272" y="72159"/>
          <a:ext cx="418523" cy="4473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481483</xdr:colOff>
      <xdr:row>9</xdr:row>
      <xdr:rowOff>1</xdr:rowOff>
    </xdr:from>
    <xdr:to>
      <xdr:col>14</xdr:col>
      <xdr:colOff>376813</xdr:colOff>
      <xdr:row>9</xdr:row>
      <xdr:rowOff>240741</xdr:rowOff>
    </xdr:to>
    <xdr:sp macro="" textlink="">
      <xdr:nvSpPr>
        <xdr:cNvPr id="4" name="TextBox 3">
          <a:extLst>
            <a:ext uri="{FF2B5EF4-FFF2-40B4-BE49-F238E27FC236}">
              <a16:creationId xmlns:a16="http://schemas.microsoft.com/office/drawing/2014/main" id="{B1C6D41A-5037-25B1-E4F9-E8613EBEBFB7}"/>
            </a:ext>
          </a:extLst>
        </xdr:cNvPr>
        <xdr:cNvSpPr txBox="1"/>
      </xdr:nvSpPr>
      <xdr:spPr>
        <a:xfrm>
          <a:off x="11314862" y="1810798"/>
          <a:ext cx="1109506" cy="2407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0000"/>
              </a:solidFill>
            </a:rPr>
            <a:t>Click to Update</a:t>
          </a:r>
        </a:p>
      </xdr:txBody>
    </xdr:sp>
    <xdr:clientData/>
  </xdr:twoCellAnchor>
  <xdr:twoCellAnchor editAs="oneCell">
    <xdr:from>
      <xdr:col>13</xdr:col>
      <xdr:colOff>157005</xdr:colOff>
      <xdr:row>7</xdr:row>
      <xdr:rowOff>20934</xdr:rowOff>
    </xdr:from>
    <xdr:to>
      <xdr:col>13</xdr:col>
      <xdr:colOff>585630</xdr:colOff>
      <xdr:row>8</xdr:row>
      <xdr:rowOff>208817</xdr:rowOff>
    </xdr:to>
    <xdr:pic macro="[0]!DataEntry">
      <xdr:nvPicPr>
        <xdr:cNvPr id="5" name="Picture 4">
          <a:extLst>
            <a:ext uri="{FF2B5EF4-FFF2-40B4-BE49-F238E27FC236}">
              <a16:creationId xmlns:a16="http://schemas.microsoft.com/office/drawing/2014/main" id="{43D1CCEB-EDF4-4E86-9DB3-8ABFEF552D4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97472" y="1339780"/>
          <a:ext cx="428625" cy="4286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14.786719560187" createdVersion="8" refreshedVersion="8" minRefreshableVersion="3" recordCount="38" xr:uid="{A8C19BD2-3886-4CD8-BBAF-C6AB5C457D52}">
  <cacheSource type="worksheet">
    <worksheetSource name="Table1"/>
  </cacheSource>
  <cacheFields count="10">
    <cacheField name="ID" numFmtId="0">
      <sharedItems containsSemiMixedTypes="0" containsString="0" containsNumber="1" containsInteger="1" minValue="1001" maxValue="1040"/>
    </cacheField>
    <cacheField name="Name" numFmtId="0">
      <sharedItems count="38">
        <s v="John Doe"/>
        <s v="jane smith"/>
        <s v="Charlie Davis"/>
        <s v="Emily White"/>
        <s v="Frank Harris"/>
        <s v="Grace Lee"/>
        <s v="Henry King"/>
        <s v="Isabella Moore"/>
        <s v="Jack Taylor"/>
        <s v="Karen Anderson"/>
        <s v="Liam Thomas"/>
        <s v="Mia Martin"/>
        <s v="Noah Jackson"/>
        <s v="Olivia White"/>
        <s v="Paul Harris"/>
        <s v="Quinn Lewis"/>
        <s v="Rachel Young"/>
        <s v="Sam Wilson"/>
        <s v="Tina Adams"/>
        <s v="Umar Khan"/>
        <s v="Vera Singh"/>
        <s v="Will Brown"/>
        <s v="Xavier Patel"/>
        <s v="Yara Thomas"/>
        <s v="Zack Lee"/>
        <s v="Anna Clark"/>
        <s v="Ben Hall"/>
        <s v="Chloe Walker"/>
        <s v="Daniel Scott"/>
        <s v="Eva Green"/>
        <s v="Finn Young"/>
        <s v="Gina Turner"/>
        <s v="Harry Martin"/>
        <s v="Isla Roberts"/>
        <s v="Jack Lewis"/>
        <s v="Kara Walker"/>
        <s v="Liam Hill"/>
        <s v="Ankit"/>
      </sharedItems>
    </cacheField>
    <cacheField name="Email" numFmtId="0">
      <sharedItems/>
    </cacheField>
    <cacheField name="Date_of_Birth" numFmtId="14">
      <sharedItems containsSemiMixedTypes="0" containsNonDate="0" containsDate="1" containsString="0" minDate="1980-09-25T00:00:00" maxDate="2000-01-02T00:00:00"/>
    </cacheField>
    <cacheField name="Department" numFmtId="0">
      <sharedItems count="5">
        <s v="IT"/>
        <s v="HR"/>
        <s v="Sales"/>
        <s v="Finance"/>
        <s v="Marketing"/>
      </sharedItems>
    </cacheField>
    <cacheField name="Salary" numFmtId="0">
      <sharedItems containsSemiMixedTypes="0" containsString="0" containsNumber="1" containsInteger="1" minValue="20000" maxValue="63000"/>
    </cacheField>
    <cacheField name="Joining_Date" numFmtId="14">
      <sharedItems containsSemiMixedTypes="0" containsNonDate="0" containsDate="1" containsString="0" minDate="2012-04-14T00:00:00" maxDate="2026-03-06T00:00:00" count="38">
        <d v="2015-03-01T00:00:00"/>
        <d v="2018-07-15T00:00:00"/>
        <d v="2017-11-05T00:00:00"/>
        <d v="2019-06-23T00:00:00"/>
        <d v="2014-08-30T00:00:00"/>
        <d v="2013-05-17T00:00:00"/>
        <d v="2016-10-22T00:00:00"/>
        <d v="2018-12-04T00:00:00"/>
        <d v="2014-02-10T00:00:00"/>
        <d v="2017-07-29T00:00:00"/>
        <d v="2012-04-14T00:00:00"/>
        <d v="2015-09-08T00:00:00"/>
        <d v="2018-03-18T00:00:00"/>
        <d v="2016-06-25T00:00:00"/>
        <d v="2013-11-02T00:00:00"/>
        <d v="2015-07-20T00:00:00"/>
        <d v="2016-12-12T00:00:00"/>
        <d v="2014-01-03T00:00:00"/>
        <d v="2017-03-19T00:00:00"/>
        <d v="2013-02-14T00:00:00"/>
        <d v="2016-07-07T00:00:00"/>
        <d v="2018-08-23T00:00:00"/>
        <d v="2012-06-02T00:00:00"/>
        <d v="2019-05-11T00:00:00"/>
        <d v="2015-11-09T00:00:00"/>
        <d v="2013-04-15T00:00:00"/>
        <d v="2017-09-28T00:00:00"/>
        <d v="2016-07-30T00:00:00"/>
        <d v="2018-02-22T00:00:00"/>
        <d v="2012-12-19T00:00:00"/>
        <d v="2015-09-04T00:00:00"/>
        <d v="2017-11-06T00:00:00"/>
        <d v="2014-05-14T00:00:00"/>
        <d v="2016-07-25T00:00:00"/>
        <d v="2013-03-03T00:00:00"/>
        <d v="2018-08-12T00:00:00"/>
        <d v="2015-05-21T00:00:00"/>
        <d v="2026-03-05T00:00:00"/>
      </sharedItems>
      <fieldGroup par="9"/>
    </cacheField>
    <cacheField name="Months (Joining_Date)" numFmtId="0" databaseField="0">
      <fieldGroup base="6">
        <rangePr groupBy="months" startDate="2012-04-14T00:00:00" endDate="2026-03-06T00:00:00"/>
        <groupItems count="14">
          <s v="&lt;4/14/2012"/>
          <s v="Jan"/>
          <s v="Feb"/>
          <s v="Mar"/>
          <s v="Apr"/>
          <s v="May"/>
          <s v="Jun"/>
          <s v="Jul"/>
          <s v="Aug"/>
          <s v="Sep"/>
          <s v="Oct"/>
          <s v="Nov"/>
          <s v="Dec"/>
          <s v="&gt;3/6/2026"/>
        </groupItems>
      </fieldGroup>
    </cacheField>
    <cacheField name="Quarters (Joining_Date)" numFmtId="0" databaseField="0">
      <fieldGroup base="6">
        <rangePr groupBy="quarters" startDate="2012-04-14T00:00:00" endDate="2026-03-06T00:00:00"/>
        <groupItems count="6">
          <s v="&lt;4/14/2012"/>
          <s v="Qtr1"/>
          <s v="Qtr2"/>
          <s v="Qtr3"/>
          <s v="Qtr4"/>
          <s v="&gt;3/6/2026"/>
        </groupItems>
      </fieldGroup>
    </cacheField>
    <cacheField name="Years (Joining_Date)" numFmtId="0" databaseField="0">
      <fieldGroup base="6">
        <rangePr groupBy="years" startDate="2012-04-14T00:00:00" endDate="2026-03-06T00:00:00"/>
        <groupItems count="17">
          <s v="&lt;4/14/2012"/>
          <s v="2012"/>
          <s v="2013"/>
          <s v="2014"/>
          <s v="2015"/>
          <s v="2016"/>
          <s v="2017"/>
          <s v="2018"/>
          <s v="2019"/>
          <s v="2020"/>
          <s v="2021"/>
          <s v="2022"/>
          <s v="2023"/>
          <s v="2024"/>
          <s v="2025"/>
          <s v="2026"/>
          <s v="&gt;3/6/2026"/>
        </groupItems>
      </fieldGroup>
    </cacheField>
  </cacheFields>
  <extLst>
    <ext xmlns:x14="http://schemas.microsoft.com/office/spreadsheetml/2009/9/main" uri="{725AE2AE-9491-48be-B2B4-4EB974FC3084}">
      <x14:pivotCacheDefinition pivotCacheId="1068797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n v="1001"/>
    <x v="0"/>
    <s v="johndoe@email.com"/>
    <d v="1985-05-12T00:00:00"/>
    <x v="0"/>
    <n v="55000"/>
    <x v="0"/>
  </r>
  <r>
    <n v="1002"/>
    <x v="1"/>
    <s v="janesmith@email.com"/>
    <d v="1990-11-23T00:00:00"/>
    <x v="1"/>
    <n v="48000"/>
    <x v="1"/>
  </r>
  <r>
    <n v="1005"/>
    <x v="2"/>
    <s v="charlied@email.com"/>
    <d v="1988-12-17T00:00:00"/>
    <x v="2"/>
    <n v="47000"/>
    <x v="2"/>
  </r>
  <r>
    <n v="1006"/>
    <x v="3"/>
    <s v="emilyw@email.com"/>
    <d v="1992-02-03T00:00:00"/>
    <x v="1"/>
    <n v="51000"/>
    <x v="3"/>
  </r>
  <r>
    <n v="1007"/>
    <x v="4"/>
    <s v="frankh@email.com"/>
    <d v="1980-09-25T00:00:00"/>
    <x v="0"/>
    <n v="58000"/>
    <x v="4"/>
  </r>
  <r>
    <n v="1008"/>
    <x v="5"/>
    <s v="grace.lee@email.com"/>
    <d v="1985-01-11T00:00:00"/>
    <x v="3"/>
    <n v="60000"/>
    <x v="5"/>
  </r>
  <r>
    <n v="1009"/>
    <x v="6"/>
    <s v="henryk@email.com"/>
    <d v="1991-07-19T00:00:00"/>
    <x v="4"/>
    <n v="52000"/>
    <x v="6"/>
  </r>
  <r>
    <n v="1010"/>
    <x v="7"/>
    <s v="isam@email.com"/>
    <d v="1987-03-28T00:00:00"/>
    <x v="2"/>
    <n v="49000"/>
    <x v="7"/>
  </r>
  <r>
    <n v="1011"/>
    <x v="8"/>
    <s v="jackt@email.com"/>
    <d v="1983-06-15T00:00:00"/>
    <x v="0"/>
    <n v="57000"/>
    <x v="8"/>
  </r>
  <r>
    <n v="1012"/>
    <x v="9"/>
    <s v="karena@email.com"/>
    <d v="1990-08-07T00:00:00"/>
    <x v="1"/>
    <n v="50000"/>
    <x v="9"/>
  </r>
  <r>
    <n v="1013"/>
    <x v="10"/>
    <s v="liamt@email.com"/>
    <d v="1984-11-21T00:00:00"/>
    <x v="3"/>
    <n v="63000"/>
    <x v="10"/>
  </r>
  <r>
    <n v="1014"/>
    <x v="11"/>
    <s v="miam@email.com"/>
    <d v="1986-05-09T00:00:00"/>
    <x v="4"/>
    <n v="51000"/>
    <x v="11"/>
  </r>
  <r>
    <n v="1015"/>
    <x v="12"/>
    <s v="noahj@email.com"/>
    <d v="1989-12-12T00:00:00"/>
    <x v="2"/>
    <n v="48000"/>
    <x v="12"/>
  </r>
  <r>
    <n v="1016"/>
    <x v="13"/>
    <s v="oliviaw@email.com"/>
    <d v="1991-04-05T00:00:00"/>
    <x v="0"/>
    <n v="56000"/>
    <x v="13"/>
  </r>
  <r>
    <n v="1017"/>
    <x v="14"/>
    <s v="paulh@email.com"/>
    <d v="1982-08-22T00:00:00"/>
    <x v="1"/>
    <n v="49500"/>
    <x v="14"/>
  </r>
  <r>
    <n v="1018"/>
    <x v="15"/>
    <s v="quinnl@email.com"/>
    <d v="1988-10-16T00:00:00"/>
    <x v="3"/>
    <n v="61000"/>
    <x v="15"/>
  </r>
  <r>
    <n v="1019"/>
    <x v="16"/>
    <s v="rachely@email.com"/>
    <d v="1987-03-27T00:00:00"/>
    <x v="4"/>
    <n v="52000"/>
    <x v="16"/>
  </r>
  <r>
    <n v="1020"/>
    <x v="17"/>
    <s v="samw@email.com"/>
    <d v="1983-06-14T00:00:00"/>
    <x v="0"/>
    <n v="57000"/>
    <x v="17"/>
  </r>
  <r>
    <n v="1021"/>
    <x v="18"/>
    <s v="tinaa@email.com"/>
    <d v="1989-09-22T00:00:00"/>
    <x v="1"/>
    <n v="49000"/>
    <x v="18"/>
  </r>
  <r>
    <n v="1022"/>
    <x v="19"/>
    <s v="umark@email.com"/>
    <d v="1987-11-05T00:00:00"/>
    <x v="3"/>
    <n v="61500"/>
    <x v="19"/>
  </r>
  <r>
    <n v="1023"/>
    <x v="20"/>
    <s v="veras@email.com"/>
    <d v="1990-02-08T00:00:00"/>
    <x v="4"/>
    <n v="52000"/>
    <x v="20"/>
  </r>
  <r>
    <n v="1024"/>
    <x v="21"/>
    <s v="willb@email.com"/>
    <d v="1985-12-17T00:00:00"/>
    <x v="2"/>
    <n v="48000"/>
    <x v="21"/>
  </r>
  <r>
    <n v="1025"/>
    <x v="22"/>
    <s v="xavierp@email.com"/>
    <d v="1982-04-29T00:00:00"/>
    <x v="0"/>
    <n v="56000"/>
    <x v="22"/>
  </r>
  <r>
    <n v="1026"/>
    <x v="23"/>
    <s v="yarat@email.com"/>
    <d v="1991-03-03T00:00:00"/>
    <x v="1"/>
    <n v="50500"/>
    <x v="23"/>
  </r>
  <r>
    <n v="1027"/>
    <x v="24"/>
    <s v="zackl@email.com"/>
    <d v="1988-07-21T00:00:00"/>
    <x v="3"/>
    <n v="60000"/>
    <x v="24"/>
  </r>
  <r>
    <n v="1028"/>
    <x v="25"/>
    <s v="annac@email.com"/>
    <d v="1984-10-14T00:00:00"/>
    <x v="4"/>
    <n v="51000"/>
    <x v="25"/>
  </r>
  <r>
    <n v="1029"/>
    <x v="26"/>
    <s v="benh@email.com"/>
    <d v="1987-05-06T00:00:00"/>
    <x v="2"/>
    <n v="49500"/>
    <x v="26"/>
  </r>
  <r>
    <n v="1030"/>
    <x v="27"/>
    <s v="chloew@email.com"/>
    <d v="1985-01-25T00:00:00"/>
    <x v="0"/>
    <n v="58000"/>
    <x v="27"/>
  </r>
  <r>
    <n v="1031"/>
    <x v="28"/>
    <s v="daniels@email.com"/>
    <d v="1990-11-18T00:00:00"/>
    <x v="1"/>
    <n v="50000"/>
    <x v="28"/>
  </r>
  <r>
    <n v="1032"/>
    <x v="29"/>
    <s v="evag@email.com"/>
    <d v="1982-06-09T00:00:00"/>
    <x v="3"/>
    <n v="62500"/>
    <x v="29"/>
  </r>
  <r>
    <n v="1033"/>
    <x v="30"/>
    <s v="finny@email.com"/>
    <d v="1986-08-27T00:00:00"/>
    <x v="4"/>
    <n v="51500"/>
    <x v="30"/>
  </r>
  <r>
    <n v="1034"/>
    <x v="31"/>
    <s v="ginat@email.com"/>
    <d v="1989-03-12T00:00:00"/>
    <x v="2"/>
    <n v="48500"/>
    <x v="31"/>
  </r>
  <r>
    <n v="1035"/>
    <x v="32"/>
    <s v="harrym@email.com"/>
    <d v="1983-02-20T00:00:00"/>
    <x v="0"/>
    <n v="56500"/>
    <x v="32"/>
  </r>
  <r>
    <n v="1036"/>
    <x v="33"/>
    <s v="islar@email.com"/>
    <d v="1987-09-11T00:00:00"/>
    <x v="1"/>
    <n v="49500"/>
    <x v="33"/>
  </r>
  <r>
    <n v="1037"/>
    <x v="34"/>
    <s v="jackl@email.com"/>
    <d v="1985-12-30T00:00:00"/>
    <x v="3"/>
    <n v="61000"/>
    <x v="34"/>
  </r>
  <r>
    <n v="1038"/>
    <x v="35"/>
    <s v="karaw@email.com"/>
    <d v="1990-04-04T00:00:00"/>
    <x v="4"/>
    <n v="52000"/>
    <x v="35"/>
  </r>
  <r>
    <n v="1039"/>
    <x v="36"/>
    <s v="liamh@email.com"/>
    <d v="1984-06-19T00:00:00"/>
    <x v="2"/>
    <n v="49000"/>
    <x v="36"/>
  </r>
  <r>
    <n v="1040"/>
    <x v="37"/>
    <s v="ankit@email.com"/>
    <d v="2000-01-01T00:00:00"/>
    <x v="3"/>
    <n v="20000"/>
    <x v="3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6B6310-574D-4882-B9AC-5DB02D7DB62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Department">
  <location ref="A51:B57" firstHeaderRow="1" firstDataRow="1" firstDataCol="1"/>
  <pivotFields count="10">
    <pivotField showAll="0"/>
    <pivotField showAll="0">
      <items count="39">
        <item x="37"/>
        <item x="25"/>
        <item x="26"/>
        <item x="2"/>
        <item x="27"/>
        <item x="28"/>
        <item x="3"/>
        <item x="29"/>
        <item x="30"/>
        <item x="4"/>
        <item x="31"/>
        <item x="5"/>
        <item x="32"/>
        <item x="6"/>
        <item x="7"/>
        <item x="33"/>
        <item x="34"/>
        <item x="8"/>
        <item x="1"/>
        <item x="0"/>
        <item x="35"/>
        <item x="9"/>
        <item x="36"/>
        <item x="10"/>
        <item x="11"/>
        <item x="12"/>
        <item x="13"/>
        <item x="14"/>
        <item x="15"/>
        <item x="16"/>
        <item x="17"/>
        <item x="18"/>
        <item x="19"/>
        <item x="20"/>
        <item x="21"/>
        <item x="22"/>
        <item x="23"/>
        <item x="24"/>
        <item t="default"/>
      </items>
    </pivotField>
    <pivotField showAll="0"/>
    <pivotField numFmtId="14" showAll="0"/>
    <pivotField axis="axisRow" showAll="0">
      <items count="6">
        <item x="3"/>
        <item x="1"/>
        <item x="0"/>
        <item x="4"/>
        <item x="2"/>
        <item t="default"/>
      </items>
    </pivotField>
    <pivotField dataField="1" showAll="0"/>
    <pivotField numFmtId="14" showAll="0">
      <items count="39">
        <item x="10"/>
        <item x="22"/>
        <item x="29"/>
        <item x="19"/>
        <item x="34"/>
        <item x="25"/>
        <item x="5"/>
        <item x="14"/>
        <item x="17"/>
        <item x="8"/>
        <item x="32"/>
        <item x="4"/>
        <item x="0"/>
        <item x="36"/>
        <item x="15"/>
        <item x="30"/>
        <item x="11"/>
        <item x="24"/>
        <item x="13"/>
        <item x="20"/>
        <item x="33"/>
        <item x="27"/>
        <item x="6"/>
        <item x="16"/>
        <item x="18"/>
        <item x="9"/>
        <item x="26"/>
        <item x="2"/>
        <item x="31"/>
        <item x="28"/>
        <item x="12"/>
        <item x="1"/>
        <item x="35"/>
        <item x="21"/>
        <item x="7"/>
        <item x="23"/>
        <item x="3"/>
        <item x="3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18">
        <item sd="0" x="1"/>
        <item sd="0" x="2"/>
        <item sd="0" x="3"/>
        <item sd="0" x="4"/>
        <item sd="0" x="5"/>
        <item sd="0" x="6"/>
        <item sd="0" x="7"/>
        <item sd="0" x="8"/>
        <item sd="0" x="9"/>
        <item sd="0" x="10"/>
        <item sd="0" x="11"/>
        <item sd="0" x="12"/>
        <item sd="0" x="13"/>
        <item sd="0" x="14"/>
        <item sd="0" x="15"/>
        <item x="0"/>
        <item x="16"/>
        <item t="default"/>
      </items>
    </pivotField>
  </pivotFields>
  <rowFields count="1">
    <field x="4"/>
  </rowFields>
  <rowItems count="6">
    <i>
      <x/>
    </i>
    <i>
      <x v="1"/>
    </i>
    <i>
      <x v="2"/>
    </i>
    <i>
      <x v="3"/>
    </i>
    <i>
      <x v="4"/>
    </i>
    <i t="grand">
      <x/>
    </i>
  </rowItems>
  <colItems count="1">
    <i/>
  </colItems>
  <dataFields count="1">
    <dataField name="Average of Salary" fld="5" subtotal="average" baseField="9"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FC84CB-3183-4DD8-99EB-37AA515FBFC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Department">
  <location ref="A3:B9" firstHeaderRow="1" firstDataRow="1" firstDataCol="1"/>
  <pivotFields count="10">
    <pivotField showAll="0"/>
    <pivotField dataField="1" showAll="0">
      <items count="39">
        <item x="37"/>
        <item x="25"/>
        <item x="26"/>
        <item x="2"/>
        <item x="27"/>
        <item x="28"/>
        <item x="3"/>
        <item x="29"/>
        <item x="30"/>
        <item x="4"/>
        <item x="31"/>
        <item x="5"/>
        <item x="32"/>
        <item x="6"/>
        <item x="7"/>
        <item x="33"/>
        <item x="34"/>
        <item x="8"/>
        <item x="1"/>
        <item x="0"/>
        <item x="35"/>
        <item x="9"/>
        <item x="36"/>
        <item x="10"/>
        <item x="11"/>
        <item x="12"/>
        <item x="13"/>
        <item x="14"/>
        <item x="15"/>
        <item x="16"/>
        <item x="17"/>
        <item x="18"/>
        <item x="19"/>
        <item x="20"/>
        <item x="21"/>
        <item x="22"/>
        <item x="23"/>
        <item x="24"/>
        <item t="default"/>
      </items>
    </pivotField>
    <pivotField showAll="0"/>
    <pivotField numFmtId="14" showAll="0"/>
    <pivotField axis="axisRow" showAll="0">
      <items count="6">
        <item x="3"/>
        <item x="1"/>
        <item x="0"/>
        <item x="4"/>
        <item x="2"/>
        <item t="default"/>
      </items>
    </pivotField>
    <pivotField showAll="0"/>
    <pivotField numFmtId="14" showAll="0">
      <items count="39">
        <item x="10"/>
        <item x="22"/>
        <item x="29"/>
        <item x="19"/>
        <item x="34"/>
        <item x="25"/>
        <item x="5"/>
        <item x="14"/>
        <item x="17"/>
        <item x="8"/>
        <item x="32"/>
        <item x="4"/>
        <item x="0"/>
        <item x="36"/>
        <item x="15"/>
        <item x="30"/>
        <item x="11"/>
        <item x="24"/>
        <item x="13"/>
        <item x="20"/>
        <item x="33"/>
        <item x="27"/>
        <item x="6"/>
        <item x="16"/>
        <item x="18"/>
        <item x="9"/>
        <item x="26"/>
        <item x="2"/>
        <item x="31"/>
        <item x="28"/>
        <item x="12"/>
        <item x="1"/>
        <item x="35"/>
        <item x="21"/>
        <item x="7"/>
        <item x="23"/>
        <item x="3"/>
        <item x="37"/>
        <item t="default"/>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18">
        <item x="1"/>
        <item x="2"/>
        <item x="3"/>
        <item x="4"/>
        <item x="5"/>
        <item x="6"/>
        <item x="7"/>
        <item x="8"/>
        <item x="9"/>
        <item x="10"/>
        <item x="11"/>
        <item x="12"/>
        <item x="13"/>
        <item x="14"/>
        <item x="15"/>
        <item x="0"/>
        <item x="16"/>
        <item t="default"/>
      </items>
    </pivotField>
  </pivotFields>
  <rowFields count="1">
    <field x="4"/>
  </rowFields>
  <rowItems count="6">
    <i>
      <x/>
    </i>
    <i>
      <x v="1"/>
    </i>
    <i>
      <x v="2"/>
    </i>
    <i>
      <x v="3"/>
    </i>
    <i>
      <x v="4"/>
    </i>
    <i t="grand">
      <x/>
    </i>
  </rowItems>
  <colItems count="1">
    <i/>
  </colItems>
  <dataFields count="1">
    <dataField name="Count of Emp" fld="1"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C74AE1-C08E-4ACF-9936-EDD52C89D7D3}"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9" rowHeaderCaption="Department">
  <location ref="A35:B41" firstHeaderRow="1" firstDataRow="1" firstDataCol="1"/>
  <pivotFields count="10">
    <pivotField showAll="0"/>
    <pivotField dataField="1" showAll="0">
      <items count="39">
        <item x="37"/>
        <item x="25"/>
        <item x="26"/>
        <item x="2"/>
        <item x="27"/>
        <item x="28"/>
        <item x="3"/>
        <item x="29"/>
        <item x="30"/>
        <item x="4"/>
        <item x="31"/>
        <item x="5"/>
        <item x="32"/>
        <item x="6"/>
        <item x="7"/>
        <item x="33"/>
        <item x="34"/>
        <item x="8"/>
        <item x="1"/>
        <item x="0"/>
        <item x="35"/>
        <item x="9"/>
        <item x="36"/>
        <item x="10"/>
        <item x="11"/>
        <item x="12"/>
        <item x="13"/>
        <item x="14"/>
        <item x="15"/>
        <item x="16"/>
        <item x="17"/>
        <item x="18"/>
        <item x="19"/>
        <item x="20"/>
        <item x="21"/>
        <item x="22"/>
        <item x="23"/>
        <item x="24"/>
        <item t="default"/>
      </items>
    </pivotField>
    <pivotField showAll="0"/>
    <pivotField numFmtId="14" showAll="0"/>
    <pivotField axis="axisRow" showAll="0">
      <items count="6">
        <item x="3"/>
        <item x="1"/>
        <item x="0"/>
        <item x="4"/>
        <item x="2"/>
        <item t="default"/>
      </items>
    </pivotField>
    <pivotField showAll="0"/>
    <pivotField numFmtId="14" showAll="0">
      <items count="39">
        <item x="10"/>
        <item x="22"/>
        <item x="29"/>
        <item x="19"/>
        <item x="34"/>
        <item x="25"/>
        <item x="5"/>
        <item x="14"/>
        <item x="17"/>
        <item x="8"/>
        <item x="32"/>
        <item x="4"/>
        <item x="0"/>
        <item x="36"/>
        <item x="15"/>
        <item x="30"/>
        <item x="11"/>
        <item x="24"/>
        <item x="13"/>
        <item x="20"/>
        <item x="33"/>
        <item x="27"/>
        <item x="6"/>
        <item x="16"/>
        <item x="18"/>
        <item x="9"/>
        <item x="26"/>
        <item x="2"/>
        <item x="31"/>
        <item x="28"/>
        <item x="12"/>
        <item x="1"/>
        <item x="35"/>
        <item x="21"/>
        <item x="7"/>
        <item x="23"/>
        <item x="3"/>
        <item x="3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18">
        <item sd="0" x="1"/>
        <item sd="0" x="2"/>
        <item sd="0" x="3"/>
        <item sd="0" x="4"/>
        <item sd="0" x="5"/>
        <item sd="0" x="6"/>
        <item sd="0" x="7"/>
        <item sd="0" x="8"/>
        <item sd="0" x="9"/>
        <item sd="0" x="10"/>
        <item sd="0" x="11"/>
        <item sd="0" x="12"/>
        <item sd="0" x="13"/>
        <item sd="0" x="14"/>
        <item sd="0" x="15"/>
        <item x="0"/>
        <item x="16"/>
        <item t="default"/>
      </items>
    </pivotField>
  </pivotFields>
  <rowFields count="1">
    <field x="4"/>
  </rowFields>
  <rowItems count="6">
    <i>
      <x/>
    </i>
    <i>
      <x v="1"/>
    </i>
    <i>
      <x v="2"/>
    </i>
    <i>
      <x v="3"/>
    </i>
    <i>
      <x v="4"/>
    </i>
    <i t="grand">
      <x/>
    </i>
  </rowItems>
  <colItems count="1">
    <i/>
  </colItems>
  <dataFields count="1">
    <dataField name="Count Of Emp" fld="1" subtotal="count" baseField="0" baseItem="0"/>
  </dataFields>
  <chartFormats count="6">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4" count="1" selected="0">
            <x v="0"/>
          </reference>
        </references>
      </pivotArea>
    </chartFormat>
    <chartFormat chart="6" format="9">
      <pivotArea type="data" outline="0" fieldPosition="0">
        <references count="2">
          <reference field="4294967294" count="1" selected="0">
            <x v="0"/>
          </reference>
          <reference field="4" count="1" selected="0">
            <x v="1"/>
          </reference>
        </references>
      </pivotArea>
    </chartFormat>
    <chartFormat chart="6" format="10">
      <pivotArea type="data" outline="0" fieldPosition="0">
        <references count="2">
          <reference field="4294967294" count="1" selected="0">
            <x v="0"/>
          </reference>
          <reference field="4" count="1" selected="0">
            <x v="2"/>
          </reference>
        </references>
      </pivotArea>
    </chartFormat>
    <chartFormat chart="6" format="11">
      <pivotArea type="data" outline="0" fieldPosition="0">
        <references count="2">
          <reference field="4294967294" count="1" selected="0">
            <x v="0"/>
          </reference>
          <reference field="4" count="1" selected="0">
            <x v="3"/>
          </reference>
        </references>
      </pivotArea>
    </chartFormat>
    <chartFormat chart="6" format="12">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03287AB-AC0E-440F-A938-98FB004F93C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Department">
  <location ref="A18:B24" firstHeaderRow="1" firstDataRow="1" firstDataCol="1"/>
  <pivotFields count="10">
    <pivotField showAll="0"/>
    <pivotField showAll="0">
      <items count="39">
        <item x="37"/>
        <item x="25"/>
        <item x="26"/>
        <item x="2"/>
        <item x="27"/>
        <item x="28"/>
        <item x="3"/>
        <item x="29"/>
        <item x="30"/>
        <item x="4"/>
        <item x="31"/>
        <item x="5"/>
        <item x="32"/>
        <item x="6"/>
        <item x="7"/>
        <item x="33"/>
        <item x="34"/>
        <item x="8"/>
        <item x="1"/>
        <item x="0"/>
        <item x="35"/>
        <item x="9"/>
        <item x="36"/>
        <item x="10"/>
        <item x="11"/>
        <item x="12"/>
        <item x="13"/>
        <item x="14"/>
        <item x="15"/>
        <item x="16"/>
        <item x="17"/>
        <item x="18"/>
        <item x="19"/>
        <item x="20"/>
        <item x="21"/>
        <item x="22"/>
        <item x="23"/>
        <item x="24"/>
        <item t="default"/>
      </items>
    </pivotField>
    <pivotField showAll="0"/>
    <pivotField numFmtId="14" showAll="0"/>
    <pivotField axis="axisRow" showAll="0">
      <items count="6">
        <item x="3"/>
        <item x="1"/>
        <item x="0"/>
        <item x="4"/>
        <item x="2"/>
        <item t="default"/>
      </items>
    </pivotField>
    <pivotField dataField="1" showAll="0"/>
    <pivotField numFmtId="14" showAll="0">
      <items count="39">
        <item x="10"/>
        <item x="22"/>
        <item x="29"/>
        <item x="19"/>
        <item x="34"/>
        <item x="25"/>
        <item x="5"/>
        <item x="14"/>
        <item x="17"/>
        <item x="8"/>
        <item x="32"/>
        <item x="4"/>
        <item x="0"/>
        <item x="36"/>
        <item x="15"/>
        <item x="30"/>
        <item x="11"/>
        <item x="24"/>
        <item x="13"/>
        <item x="20"/>
        <item x="33"/>
        <item x="27"/>
        <item x="6"/>
        <item x="16"/>
        <item x="18"/>
        <item x="9"/>
        <item x="26"/>
        <item x="2"/>
        <item x="31"/>
        <item x="28"/>
        <item x="12"/>
        <item x="1"/>
        <item x="35"/>
        <item x="21"/>
        <item x="7"/>
        <item x="23"/>
        <item x="3"/>
        <item x="3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18">
        <item sd="0" x="1"/>
        <item sd="0" x="2"/>
        <item sd="0" x="3"/>
        <item sd="0" x="4"/>
        <item sd="0" x="5"/>
        <item sd="0" x="6"/>
        <item sd="0" x="7"/>
        <item sd="0" x="8"/>
        <item sd="0" x="9"/>
        <item sd="0" x="10"/>
        <item sd="0" x="11"/>
        <item sd="0" x="12"/>
        <item sd="0" x="13"/>
        <item sd="0" x="14"/>
        <item sd="0" x="15"/>
        <item x="0"/>
        <item x="16"/>
        <item t="default"/>
      </items>
    </pivotField>
  </pivotFields>
  <rowFields count="1">
    <field x="4"/>
  </rowFields>
  <rowItems count="6">
    <i>
      <x/>
    </i>
    <i>
      <x v="1"/>
    </i>
    <i>
      <x v="2"/>
    </i>
    <i>
      <x v="3"/>
    </i>
    <i>
      <x v="4"/>
    </i>
    <i t="grand">
      <x/>
    </i>
  </rowItems>
  <colItems count="1">
    <i/>
  </colItems>
  <dataFields count="1">
    <dataField name="Avg Salary" fld="5"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A83529-A0FA-42E7-BB11-ACECE6F5D9A9}"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rowHeaderCaption="Department">
  <location ref="A69:B75" firstHeaderRow="1" firstDataRow="1" firstDataCol="1"/>
  <pivotFields count="10">
    <pivotField showAll="0"/>
    <pivotField showAll="0">
      <items count="39">
        <item x="37"/>
        <item x="25"/>
        <item x="26"/>
        <item x="2"/>
        <item x="27"/>
        <item x="28"/>
        <item x="3"/>
        <item x="29"/>
        <item x="30"/>
        <item x="4"/>
        <item x="31"/>
        <item x="5"/>
        <item x="32"/>
        <item x="6"/>
        <item x="7"/>
        <item x="33"/>
        <item x="34"/>
        <item x="8"/>
        <item x="1"/>
        <item x="0"/>
        <item x="35"/>
        <item x="9"/>
        <item x="36"/>
        <item x="10"/>
        <item x="11"/>
        <item x="12"/>
        <item x="13"/>
        <item x="14"/>
        <item x="15"/>
        <item x="16"/>
        <item x="17"/>
        <item x="18"/>
        <item x="19"/>
        <item x="20"/>
        <item x="21"/>
        <item x="22"/>
        <item x="23"/>
        <item x="24"/>
        <item t="default"/>
      </items>
    </pivotField>
    <pivotField showAll="0"/>
    <pivotField numFmtId="14" showAll="0"/>
    <pivotField axis="axisRow" showAll="0">
      <items count="6">
        <item x="3"/>
        <item x="1"/>
        <item x="0"/>
        <item x="4"/>
        <item x="2"/>
        <item t="default"/>
      </items>
    </pivotField>
    <pivotField dataField="1" showAll="0"/>
    <pivotField numFmtId="14" showAll="0">
      <items count="39">
        <item x="10"/>
        <item x="22"/>
        <item x="29"/>
        <item x="19"/>
        <item x="34"/>
        <item x="25"/>
        <item x="5"/>
        <item x="14"/>
        <item x="17"/>
        <item x="8"/>
        <item x="32"/>
        <item x="4"/>
        <item x="0"/>
        <item x="36"/>
        <item x="15"/>
        <item x="30"/>
        <item x="11"/>
        <item x="24"/>
        <item x="13"/>
        <item x="20"/>
        <item x="33"/>
        <item x="27"/>
        <item x="6"/>
        <item x="16"/>
        <item x="18"/>
        <item x="9"/>
        <item x="26"/>
        <item x="2"/>
        <item x="31"/>
        <item x="28"/>
        <item x="12"/>
        <item x="1"/>
        <item x="35"/>
        <item x="21"/>
        <item x="7"/>
        <item x="23"/>
        <item x="3"/>
        <item x="3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18">
        <item sd="0" x="1"/>
        <item sd="0" x="2"/>
        <item sd="0" x="3"/>
        <item sd="0" x="4"/>
        <item sd="0" x="5"/>
        <item sd="0" x="6"/>
        <item sd="0" x="7"/>
        <item sd="0" x="8"/>
        <item sd="0" x="9"/>
        <item sd="0" x="10"/>
        <item sd="0" x="11"/>
        <item sd="0" x="12"/>
        <item sd="0" x="13"/>
        <item sd="0" x="14"/>
        <item sd="0" x="15"/>
        <item x="0"/>
        <item x="16"/>
        <item t="default"/>
      </items>
    </pivotField>
  </pivotFields>
  <rowFields count="1">
    <field x="4"/>
  </rowFields>
  <rowItems count="6">
    <i>
      <x/>
    </i>
    <i>
      <x v="1"/>
    </i>
    <i>
      <x v="2"/>
    </i>
    <i>
      <x v="3"/>
    </i>
    <i>
      <x v="4"/>
    </i>
    <i t="grand">
      <x/>
    </i>
  </rowItems>
  <colItems count="1">
    <i/>
  </colItems>
  <dataFields count="1">
    <dataField name="Sum of Salary" fld="5" baseField="0" baseItem="0"/>
  </dataField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D69044E9-7BEF-4126-A79F-8F41E99A0C2D}" sourceName="Name">
  <pivotTables>
    <pivotTable tabId="5" name="PivotTable2"/>
    <pivotTable tabId="5" name="PivotTable1"/>
    <pivotTable tabId="5" name="PivotTable3"/>
    <pivotTable tabId="5" name="PivotTable4"/>
    <pivotTable tabId="5" name="PivotTable5"/>
  </pivotTables>
  <data>
    <tabular pivotCacheId="106879740">
      <items count="38">
        <i x="37" s="1"/>
        <i x="25" s="1"/>
        <i x="26" s="1"/>
        <i x="2" s="1"/>
        <i x="27" s="1"/>
        <i x="28" s="1"/>
        <i x="3" s="1"/>
        <i x="29" s="1"/>
        <i x="30" s="1"/>
        <i x="4" s="1"/>
        <i x="31" s="1"/>
        <i x="5" s="1"/>
        <i x="32" s="1"/>
        <i x="6" s="1"/>
        <i x="7" s="1"/>
        <i x="33" s="1"/>
        <i x="34" s="1"/>
        <i x="8" s="1"/>
        <i x="1" s="1"/>
        <i x="0" s="1"/>
        <i x="35" s="1"/>
        <i x="9" s="1"/>
        <i x="36" s="1"/>
        <i x="10" s="1"/>
        <i x="11" s="1"/>
        <i x="12" s="1"/>
        <i x="13" s="1"/>
        <i x="14" s="1"/>
        <i x="15" s="1"/>
        <i x="16" s="1"/>
        <i x="17" s="1"/>
        <i x="18" s="1"/>
        <i x="19" s="1"/>
        <i x="20" s="1"/>
        <i x="21" s="1"/>
        <i x="22" s="1"/>
        <i x="23"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C4F9382-CFF5-4B20-80B6-AA492B5D0CBE}" sourceName="Department">
  <pivotTables>
    <pivotTable tabId="5" name="PivotTable2"/>
    <pivotTable tabId="5" name="PivotTable1"/>
    <pivotTable tabId="5" name="PivotTable3"/>
    <pivotTable tabId="5" name="PivotTable4"/>
    <pivotTable tabId="5" name="PivotTable5"/>
  </pivotTables>
  <data>
    <tabular pivotCacheId="106879740">
      <items count="5">
        <i x="3" s="1"/>
        <i x="1" s="1"/>
        <i x="0"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393FBCC7-78BC-4428-B878-25CF397D5ADC}" cache="Slicer_Name" caption="Name" startItem="16" columnCount="2" rowHeight="241300"/>
  <slicer name="Department" xr10:uid="{B0B32B6B-E0CD-486A-8A1A-6540E475D695}" cache="Slicer_Department" caption="Department"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5E9EE1-F2A2-41D9-B87C-B4D565625D02}" name="Table1" displayName="Table1" ref="A1:G38" totalsRowShown="0" headerRowDxfId="10" headerRowBorderDxfId="9" tableBorderDxfId="8" totalsRowBorderDxfId="7">
  <tableColumns count="7">
    <tableColumn id="1" xr3:uid="{88C98F38-0A88-49D5-958B-A6A7CAF586A9}" name="ID" dataDxfId="6"/>
    <tableColumn id="2" xr3:uid="{9BC4908F-6254-4080-8C78-A9989A72208E}" name="Name" dataDxfId="5"/>
    <tableColumn id="3" xr3:uid="{B1C59045-4302-4582-A6D2-5667F4851585}" name="Email" dataDxfId="4" dataCellStyle="Hyperlink"/>
    <tableColumn id="4" xr3:uid="{04EAF4E1-E025-49CD-8BE4-122107550953}" name="Date_of_Birth" dataDxfId="3"/>
    <tableColumn id="5" xr3:uid="{78458DCC-3155-4082-B79D-EC18D78DC04B}" name="Department" dataDxfId="2"/>
    <tableColumn id="6" xr3:uid="{B6434F39-B8BA-4A58-BFE7-2D8CD7896084}" name="Salary" dataDxfId="1"/>
    <tableColumn id="7" xr3:uid="{2924AE1F-4154-4E84-A659-FC7D0BA5FE79}" name="Joining_Dat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isam@email.com" TargetMode="External"/><Relationship Id="rId13" Type="http://schemas.openxmlformats.org/officeDocument/2006/relationships/hyperlink" Target="mailto:noahj@email.com" TargetMode="External"/><Relationship Id="rId18" Type="http://schemas.openxmlformats.org/officeDocument/2006/relationships/hyperlink" Target="mailto:samw@email.com" TargetMode="External"/><Relationship Id="rId26" Type="http://schemas.openxmlformats.org/officeDocument/2006/relationships/hyperlink" Target="mailto:annac@email.com" TargetMode="External"/><Relationship Id="rId39" Type="http://schemas.openxmlformats.org/officeDocument/2006/relationships/table" Target="../tables/table1.xml"/><Relationship Id="rId3" Type="http://schemas.openxmlformats.org/officeDocument/2006/relationships/hyperlink" Target="mailto:charlied@email.com" TargetMode="External"/><Relationship Id="rId21" Type="http://schemas.openxmlformats.org/officeDocument/2006/relationships/hyperlink" Target="mailto:veras@email.com" TargetMode="External"/><Relationship Id="rId34" Type="http://schemas.openxmlformats.org/officeDocument/2006/relationships/hyperlink" Target="mailto:islar@email.com" TargetMode="External"/><Relationship Id="rId7" Type="http://schemas.openxmlformats.org/officeDocument/2006/relationships/hyperlink" Target="mailto:henryk@email.com" TargetMode="External"/><Relationship Id="rId12" Type="http://schemas.openxmlformats.org/officeDocument/2006/relationships/hyperlink" Target="mailto:miam@email.com" TargetMode="External"/><Relationship Id="rId17" Type="http://schemas.openxmlformats.org/officeDocument/2006/relationships/hyperlink" Target="mailto:rachely@email.com" TargetMode="External"/><Relationship Id="rId25" Type="http://schemas.openxmlformats.org/officeDocument/2006/relationships/hyperlink" Target="mailto:zackl@email.com" TargetMode="External"/><Relationship Id="rId33" Type="http://schemas.openxmlformats.org/officeDocument/2006/relationships/hyperlink" Target="mailto:harrym@email.com" TargetMode="External"/><Relationship Id="rId38" Type="http://schemas.openxmlformats.org/officeDocument/2006/relationships/drawing" Target="../drawings/drawing2.xml"/><Relationship Id="rId2" Type="http://schemas.openxmlformats.org/officeDocument/2006/relationships/hyperlink" Target="mailto:janesmith@email.com" TargetMode="External"/><Relationship Id="rId16" Type="http://schemas.openxmlformats.org/officeDocument/2006/relationships/hyperlink" Target="mailto:quinnl@email.com" TargetMode="External"/><Relationship Id="rId20" Type="http://schemas.openxmlformats.org/officeDocument/2006/relationships/hyperlink" Target="mailto:umark@email.com" TargetMode="External"/><Relationship Id="rId29" Type="http://schemas.openxmlformats.org/officeDocument/2006/relationships/hyperlink" Target="mailto:daniels@email.com" TargetMode="External"/><Relationship Id="rId1" Type="http://schemas.openxmlformats.org/officeDocument/2006/relationships/hyperlink" Target="mailto:johndoe@email.com" TargetMode="External"/><Relationship Id="rId6" Type="http://schemas.openxmlformats.org/officeDocument/2006/relationships/hyperlink" Target="mailto:grace.lee@email.com" TargetMode="External"/><Relationship Id="rId11" Type="http://schemas.openxmlformats.org/officeDocument/2006/relationships/hyperlink" Target="mailto:liamt@email.com" TargetMode="External"/><Relationship Id="rId24" Type="http://schemas.openxmlformats.org/officeDocument/2006/relationships/hyperlink" Target="mailto:yarat@email.com" TargetMode="External"/><Relationship Id="rId32" Type="http://schemas.openxmlformats.org/officeDocument/2006/relationships/hyperlink" Target="mailto:ginat@email.com" TargetMode="External"/><Relationship Id="rId37" Type="http://schemas.openxmlformats.org/officeDocument/2006/relationships/hyperlink" Target="mailto:liamh@email.com" TargetMode="External"/><Relationship Id="rId5" Type="http://schemas.openxmlformats.org/officeDocument/2006/relationships/hyperlink" Target="mailto:frankh@email.com" TargetMode="External"/><Relationship Id="rId15" Type="http://schemas.openxmlformats.org/officeDocument/2006/relationships/hyperlink" Target="mailto:paulh@email.com" TargetMode="External"/><Relationship Id="rId23" Type="http://schemas.openxmlformats.org/officeDocument/2006/relationships/hyperlink" Target="mailto:xavierp@email.com" TargetMode="External"/><Relationship Id="rId28" Type="http://schemas.openxmlformats.org/officeDocument/2006/relationships/hyperlink" Target="mailto:chloew@email.com" TargetMode="External"/><Relationship Id="rId36" Type="http://schemas.openxmlformats.org/officeDocument/2006/relationships/hyperlink" Target="mailto:karaw@email.com" TargetMode="External"/><Relationship Id="rId10" Type="http://schemas.openxmlformats.org/officeDocument/2006/relationships/hyperlink" Target="mailto:karena@email.com" TargetMode="External"/><Relationship Id="rId19" Type="http://schemas.openxmlformats.org/officeDocument/2006/relationships/hyperlink" Target="mailto:tinaa@email.com" TargetMode="External"/><Relationship Id="rId31" Type="http://schemas.openxmlformats.org/officeDocument/2006/relationships/hyperlink" Target="mailto:finny@email.com" TargetMode="External"/><Relationship Id="rId4" Type="http://schemas.openxmlformats.org/officeDocument/2006/relationships/hyperlink" Target="mailto:emilyw@email.com" TargetMode="External"/><Relationship Id="rId9" Type="http://schemas.openxmlformats.org/officeDocument/2006/relationships/hyperlink" Target="mailto:jackt@email.com" TargetMode="External"/><Relationship Id="rId14" Type="http://schemas.openxmlformats.org/officeDocument/2006/relationships/hyperlink" Target="mailto:oliviaw@email.com" TargetMode="External"/><Relationship Id="rId22" Type="http://schemas.openxmlformats.org/officeDocument/2006/relationships/hyperlink" Target="mailto:willb@email.com" TargetMode="External"/><Relationship Id="rId27" Type="http://schemas.openxmlformats.org/officeDocument/2006/relationships/hyperlink" Target="mailto:benh@email.com" TargetMode="External"/><Relationship Id="rId30" Type="http://schemas.openxmlformats.org/officeDocument/2006/relationships/hyperlink" Target="mailto:evag@email.com" TargetMode="External"/><Relationship Id="rId35" Type="http://schemas.openxmlformats.org/officeDocument/2006/relationships/hyperlink" Target="mailto:jackl@email.com"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frankh@email.com" TargetMode="External"/><Relationship Id="rId13" Type="http://schemas.openxmlformats.org/officeDocument/2006/relationships/hyperlink" Target="mailto:karena@email.com" TargetMode="External"/><Relationship Id="rId18" Type="http://schemas.openxmlformats.org/officeDocument/2006/relationships/hyperlink" Target="mailto:paulh@email.com" TargetMode="External"/><Relationship Id="rId26" Type="http://schemas.openxmlformats.org/officeDocument/2006/relationships/hyperlink" Target="mailto:johndoe@email.com" TargetMode="External"/><Relationship Id="rId39" Type="http://schemas.openxmlformats.org/officeDocument/2006/relationships/hyperlink" Target="mailto:quinnl@email.com" TargetMode="External"/><Relationship Id="rId3" Type="http://schemas.openxmlformats.org/officeDocument/2006/relationships/hyperlink" Target="mailto:alicej@email.com" TargetMode="External"/><Relationship Id="rId21" Type="http://schemas.openxmlformats.org/officeDocument/2006/relationships/hyperlink" Target="mailto:johndoe@email.com" TargetMode="External"/><Relationship Id="rId34" Type="http://schemas.openxmlformats.org/officeDocument/2006/relationships/hyperlink" Target="mailto:liamt@email.com" TargetMode="External"/><Relationship Id="rId7" Type="http://schemas.openxmlformats.org/officeDocument/2006/relationships/hyperlink" Target="mailto:emilyw@email.com" TargetMode="External"/><Relationship Id="rId12" Type="http://schemas.openxmlformats.org/officeDocument/2006/relationships/hyperlink" Target="mailto:jackt@email.com" TargetMode="External"/><Relationship Id="rId17" Type="http://schemas.openxmlformats.org/officeDocument/2006/relationships/hyperlink" Target="mailto:oliviaw@email.com" TargetMode="External"/><Relationship Id="rId25" Type="http://schemas.openxmlformats.org/officeDocument/2006/relationships/hyperlink" Target="mailto:charlied@email.com" TargetMode="External"/><Relationship Id="rId33" Type="http://schemas.openxmlformats.org/officeDocument/2006/relationships/hyperlink" Target="mailto:karena@email.com" TargetMode="External"/><Relationship Id="rId38" Type="http://schemas.openxmlformats.org/officeDocument/2006/relationships/hyperlink" Target="mailto:paulh@email.com" TargetMode="External"/><Relationship Id="rId2" Type="http://schemas.openxmlformats.org/officeDocument/2006/relationships/hyperlink" Target="mailto:janesmith@email.com" TargetMode="External"/><Relationship Id="rId16" Type="http://schemas.openxmlformats.org/officeDocument/2006/relationships/hyperlink" Target="mailto:noahj@email.com" TargetMode="External"/><Relationship Id="rId20" Type="http://schemas.openxmlformats.org/officeDocument/2006/relationships/hyperlink" Target="mailto:rachely@email.com" TargetMode="External"/><Relationship Id="rId29" Type="http://schemas.openxmlformats.org/officeDocument/2006/relationships/hyperlink" Target="mailto:grace.lee@email.com" TargetMode="External"/><Relationship Id="rId1" Type="http://schemas.openxmlformats.org/officeDocument/2006/relationships/hyperlink" Target="mailto:johndoe@email.com" TargetMode="External"/><Relationship Id="rId6" Type="http://schemas.openxmlformats.org/officeDocument/2006/relationships/hyperlink" Target="mailto:johndoe@email.com" TargetMode="External"/><Relationship Id="rId11" Type="http://schemas.openxmlformats.org/officeDocument/2006/relationships/hyperlink" Target="mailto:isam@email.com" TargetMode="External"/><Relationship Id="rId24" Type="http://schemas.openxmlformats.org/officeDocument/2006/relationships/hyperlink" Target="mailto:bob.brown@email.com" TargetMode="External"/><Relationship Id="rId32" Type="http://schemas.openxmlformats.org/officeDocument/2006/relationships/hyperlink" Target="mailto:jackt@email.com" TargetMode="External"/><Relationship Id="rId37" Type="http://schemas.openxmlformats.org/officeDocument/2006/relationships/hyperlink" Target="mailto:oliviaw@email.com" TargetMode="External"/><Relationship Id="rId40" Type="http://schemas.openxmlformats.org/officeDocument/2006/relationships/hyperlink" Target="mailto:rachely@email.com" TargetMode="External"/><Relationship Id="rId5" Type="http://schemas.openxmlformats.org/officeDocument/2006/relationships/hyperlink" Target="mailto:charlied@email.com" TargetMode="External"/><Relationship Id="rId15" Type="http://schemas.openxmlformats.org/officeDocument/2006/relationships/hyperlink" Target="mailto:miam@email.com" TargetMode="External"/><Relationship Id="rId23" Type="http://schemas.openxmlformats.org/officeDocument/2006/relationships/hyperlink" Target="mailto:alicej@email.com" TargetMode="External"/><Relationship Id="rId28" Type="http://schemas.openxmlformats.org/officeDocument/2006/relationships/hyperlink" Target="mailto:frankh@email.com" TargetMode="External"/><Relationship Id="rId36" Type="http://schemas.openxmlformats.org/officeDocument/2006/relationships/hyperlink" Target="mailto:noahj@email.com" TargetMode="External"/><Relationship Id="rId10" Type="http://schemas.openxmlformats.org/officeDocument/2006/relationships/hyperlink" Target="mailto:henryk@email.com" TargetMode="External"/><Relationship Id="rId19" Type="http://schemas.openxmlformats.org/officeDocument/2006/relationships/hyperlink" Target="mailto:quinnl@email.com" TargetMode="External"/><Relationship Id="rId31" Type="http://schemas.openxmlformats.org/officeDocument/2006/relationships/hyperlink" Target="mailto:isam@email.com" TargetMode="External"/><Relationship Id="rId4" Type="http://schemas.openxmlformats.org/officeDocument/2006/relationships/hyperlink" Target="mailto:bob.brown@email.com" TargetMode="External"/><Relationship Id="rId9" Type="http://schemas.openxmlformats.org/officeDocument/2006/relationships/hyperlink" Target="mailto:grace.lee@email.com" TargetMode="External"/><Relationship Id="rId14" Type="http://schemas.openxmlformats.org/officeDocument/2006/relationships/hyperlink" Target="mailto:liamt@email.com" TargetMode="External"/><Relationship Id="rId22" Type="http://schemas.openxmlformats.org/officeDocument/2006/relationships/hyperlink" Target="mailto:janesmith@email.com" TargetMode="External"/><Relationship Id="rId27" Type="http://schemas.openxmlformats.org/officeDocument/2006/relationships/hyperlink" Target="mailto:emilyw@email.com" TargetMode="External"/><Relationship Id="rId30" Type="http://schemas.openxmlformats.org/officeDocument/2006/relationships/hyperlink" Target="mailto:henryk@email.com" TargetMode="External"/><Relationship Id="rId35" Type="http://schemas.openxmlformats.org/officeDocument/2006/relationships/hyperlink" Target="mailto:miam@email.com" TargetMode="Externa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A9D31-BEDC-4209-8E9A-65ABDC28645B}">
  <sheetPr codeName="Sheet2"/>
  <dimension ref="H1:AA10"/>
  <sheetViews>
    <sheetView showGridLines="0" showRowColHeaders="0" tabSelected="1" zoomScale="69" zoomScaleNormal="69" workbookViewId="0">
      <selection activeCell="Y19" sqref="Y14:Y19"/>
    </sheetView>
  </sheetViews>
  <sheetFormatPr defaultRowHeight="15" x14ac:dyDescent="0.25"/>
  <cols>
    <col min="8" max="8" width="10.7109375" bestFit="1" customWidth="1"/>
    <col min="14" max="14" width="8" bestFit="1" customWidth="1"/>
    <col min="15" max="15" width="11.140625" bestFit="1" customWidth="1"/>
  </cols>
  <sheetData>
    <row r="1" spans="8:27" x14ac:dyDescent="0.25">
      <c r="R1" s="43"/>
      <c r="S1" s="43"/>
      <c r="T1" s="43"/>
      <c r="U1" s="43"/>
      <c r="V1" s="43"/>
      <c r="W1" s="43"/>
    </row>
    <row r="2" spans="8:27" x14ac:dyDescent="0.25">
      <c r="R2" s="43"/>
      <c r="S2" s="43"/>
      <c r="T2" s="43"/>
      <c r="U2" s="43"/>
      <c r="V2" s="43"/>
      <c r="W2" s="43"/>
    </row>
    <row r="3" spans="8:27" x14ac:dyDescent="0.25">
      <c r="R3" s="43"/>
      <c r="S3" s="43"/>
      <c r="T3" s="43"/>
      <c r="U3" s="43"/>
      <c r="V3" s="43"/>
      <c r="W3" s="43"/>
    </row>
    <row r="4" spans="8:27" x14ac:dyDescent="0.25">
      <c r="P4" t="s">
        <v>186</v>
      </c>
      <c r="R4" s="43"/>
      <c r="S4" s="43"/>
      <c r="T4" s="43"/>
      <c r="U4" s="43"/>
      <c r="V4" s="43"/>
      <c r="W4" s="43"/>
    </row>
    <row r="7" spans="8:27" x14ac:dyDescent="0.25">
      <c r="H7" s="38"/>
    </row>
    <row r="10" spans="8:27" ht="92.25" x14ac:dyDescent="1.35">
      <c r="AA10" s="46" t="s">
        <v>189</v>
      </c>
    </row>
  </sheetData>
  <mergeCells count="1">
    <mergeCell ref="R1:W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C18D7-3AAC-4D86-A404-973BD3D4125D}">
  <sheetPr codeName="Sheet3"/>
  <dimension ref="A1:R39"/>
  <sheetViews>
    <sheetView topLeftCell="A21" zoomScale="91" zoomScaleNormal="91" workbookViewId="0">
      <selection activeCell="G39" sqref="G39"/>
    </sheetView>
  </sheetViews>
  <sheetFormatPr defaultRowHeight="15" x14ac:dyDescent="0.25"/>
  <cols>
    <col min="1" max="1" width="6" bestFit="1" customWidth="1"/>
    <col min="2" max="2" width="17.140625" bestFit="1" customWidth="1"/>
    <col min="3" max="3" width="22.7109375" bestFit="1" customWidth="1"/>
    <col min="4" max="4" width="18" bestFit="1" customWidth="1"/>
    <col min="5" max="5" width="15" bestFit="1" customWidth="1"/>
    <col min="6" max="6" width="9" bestFit="1" customWidth="1"/>
    <col min="7" max="7" width="17.140625" bestFit="1" customWidth="1"/>
    <col min="10" max="10" width="29.28515625" bestFit="1" customWidth="1"/>
    <col min="11" max="11" width="16.7109375" bestFit="1" customWidth="1"/>
  </cols>
  <sheetData>
    <row r="1" spans="1:18" x14ac:dyDescent="0.25">
      <c r="A1" s="11" t="s">
        <v>0</v>
      </c>
      <c r="B1" s="12" t="s">
        <v>1</v>
      </c>
      <c r="C1" s="12" t="s">
        <v>2</v>
      </c>
      <c r="D1" s="12" t="s">
        <v>3</v>
      </c>
      <c r="E1" s="12" t="s">
        <v>4</v>
      </c>
      <c r="F1" s="12" t="s">
        <v>5</v>
      </c>
      <c r="G1" s="13" t="s">
        <v>6</v>
      </c>
    </row>
    <row r="2" spans="1:18" x14ac:dyDescent="0.25">
      <c r="A2" s="9">
        <v>1001</v>
      </c>
      <c r="B2" s="6" t="s">
        <v>7</v>
      </c>
      <c r="C2" s="7" t="s">
        <v>8</v>
      </c>
      <c r="D2" s="8">
        <v>31179</v>
      </c>
      <c r="E2" s="6" t="s">
        <v>9</v>
      </c>
      <c r="F2" s="6">
        <v>55000</v>
      </c>
      <c r="G2" s="10">
        <v>42064</v>
      </c>
    </row>
    <row r="3" spans="1:18" x14ac:dyDescent="0.25">
      <c r="A3" s="9">
        <v>1002</v>
      </c>
      <c r="B3" s="6" t="s">
        <v>10</v>
      </c>
      <c r="C3" s="7" t="s">
        <v>11</v>
      </c>
      <c r="D3" s="8">
        <v>33200</v>
      </c>
      <c r="E3" s="6" t="s">
        <v>12</v>
      </c>
      <c r="F3" s="6">
        <v>48000</v>
      </c>
      <c r="G3" s="10">
        <v>43296</v>
      </c>
      <c r="I3" s="32"/>
      <c r="J3" s="32"/>
      <c r="K3" s="32"/>
      <c r="L3" s="32"/>
      <c r="M3" s="32"/>
      <c r="N3" s="32"/>
      <c r="O3" s="32"/>
      <c r="P3" s="32"/>
      <c r="Q3" s="32"/>
      <c r="R3" s="32"/>
    </row>
    <row r="4" spans="1:18" x14ac:dyDescent="0.25">
      <c r="A4" s="9">
        <v>1005</v>
      </c>
      <c r="B4" s="6" t="s">
        <v>19</v>
      </c>
      <c r="C4" s="7" t="s">
        <v>20</v>
      </c>
      <c r="D4" s="8">
        <v>32494</v>
      </c>
      <c r="E4" s="6" t="s">
        <v>21</v>
      </c>
      <c r="F4" s="6">
        <v>47000</v>
      </c>
      <c r="G4" s="10">
        <v>43044</v>
      </c>
      <c r="I4" s="32"/>
      <c r="J4" s="32"/>
      <c r="K4" s="32"/>
      <c r="L4" s="32"/>
      <c r="M4" s="32"/>
      <c r="N4" s="32"/>
      <c r="O4" s="32"/>
      <c r="P4" s="32"/>
      <c r="Q4" s="32"/>
      <c r="R4" s="32"/>
    </row>
    <row r="5" spans="1:18" x14ac:dyDescent="0.25">
      <c r="A5" s="9">
        <v>1006</v>
      </c>
      <c r="B5" s="6" t="s">
        <v>22</v>
      </c>
      <c r="C5" s="7" t="s">
        <v>23</v>
      </c>
      <c r="D5" s="8">
        <v>33637</v>
      </c>
      <c r="E5" s="6" t="s">
        <v>12</v>
      </c>
      <c r="F5" s="6">
        <v>51000</v>
      </c>
      <c r="G5" s="10">
        <v>43639</v>
      </c>
      <c r="I5" s="32"/>
      <c r="J5" s="44" t="s">
        <v>174</v>
      </c>
      <c r="K5" s="44"/>
      <c r="L5" s="32"/>
      <c r="M5" s="32"/>
      <c r="N5" s="32"/>
      <c r="O5" s="32"/>
      <c r="P5" s="32"/>
      <c r="Q5" s="32"/>
      <c r="R5" s="32"/>
    </row>
    <row r="6" spans="1:18" x14ac:dyDescent="0.25">
      <c r="A6" s="9">
        <v>1007</v>
      </c>
      <c r="B6" s="6" t="s">
        <v>24</v>
      </c>
      <c r="C6" s="7" t="s">
        <v>25</v>
      </c>
      <c r="D6" s="8">
        <v>29489</v>
      </c>
      <c r="E6" s="6" t="s">
        <v>9</v>
      </c>
      <c r="F6" s="6">
        <v>58000</v>
      </c>
      <c r="G6" s="10">
        <v>41881</v>
      </c>
      <c r="I6" s="32"/>
      <c r="J6" s="5" t="s">
        <v>0</v>
      </c>
      <c r="K6" s="33">
        <v>1041</v>
      </c>
      <c r="L6" s="32"/>
      <c r="M6" s="32"/>
      <c r="N6" s="32"/>
      <c r="O6" s="32"/>
      <c r="P6" s="32"/>
      <c r="Q6" s="32"/>
      <c r="R6" s="32"/>
    </row>
    <row r="7" spans="1:18" x14ac:dyDescent="0.25">
      <c r="A7" s="9">
        <v>1008</v>
      </c>
      <c r="B7" s="6" t="s">
        <v>26</v>
      </c>
      <c r="C7" s="7" t="s">
        <v>27</v>
      </c>
      <c r="D7" s="8">
        <v>31058</v>
      </c>
      <c r="E7" s="6" t="s">
        <v>15</v>
      </c>
      <c r="F7" s="6">
        <v>60000</v>
      </c>
      <c r="G7" s="10">
        <v>41411</v>
      </c>
      <c r="I7" s="32"/>
      <c r="J7" s="5" t="s">
        <v>1</v>
      </c>
      <c r="K7" s="33" t="s">
        <v>187</v>
      </c>
      <c r="L7" s="32"/>
      <c r="M7" s="32"/>
      <c r="N7" s="32"/>
      <c r="O7" s="32"/>
      <c r="P7" s="32"/>
      <c r="Q7" s="32"/>
      <c r="R7" s="32"/>
    </row>
    <row r="8" spans="1:18" ht="18.75" customHeight="1" x14ac:dyDescent="0.25">
      <c r="A8" s="9">
        <v>1009</v>
      </c>
      <c r="B8" s="6" t="s">
        <v>28</v>
      </c>
      <c r="C8" s="7" t="s">
        <v>29</v>
      </c>
      <c r="D8" s="8">
        <v>33438</v>
      </c>
      <c r="E8" s="6" t="s">
        <v>18</v>
      </c>
      <c r="F8" s="6">
        <v>52000</v>
      </c>
      <c r="G8" s="10">
        <v>42665</v>
      </c>
      <c r="I8" s="32"/>
      <c r="J8" s="5" t="s">
        <v>2</v>
      </c>
      <c r="K8" s="34" t="s">
        <v>188</v>
      </c>
      <c r="L8" s="32"/>
      <c r="M8" s="32"/>
      <c r="N8" s="32"/>
      <c r="O8" s="32"/>
      <c r="P8" s="32"/>
      <c r="Q8" s="32"/>
      <c r="R8" s="32"/>
    </row>
    <row r="9" spans="1:18" ht="19.5" customHeight="1" x14ac:dyDescent="0.25">
      <c r="A9" s="9">
        <v>1010</v>
      </c>
      <c r="B9" s="6" t="s">
        <v>30</v>
      </c>
      <c r="C9" s="7" t="s">
        <v>31</v>
      </c>
      <c r="D9" s="8">
        <v>31864</v>
      </c>
      <c r="E9" s="6" t="s">
        <v>21</v>
      </c>
      <c r="F9" s="6">
        <v>49000</v>
      </c>
      <c r="G9" s="10">
        <v>43438</v>
      </c>
      <c r="I9" s="32"/>
      <c r="J9" s="5" t="s">
        <v>3</v>
      </c>
      <c r="K9" s="35">
        <v>37987</v>
      </c>
      <c r="L9" s="32"/>
      <c r="M9" s="32"/>
      <c r="N9" s="32"/>
      <c r="O9" s="32"/>
      <c r="P9" s="32"/>
      <c r="Q9" s="32"/>
      <c r="R9" s="32"/>
    </row>
    <row r="10" spans="1:18" x14ac:dyDescent="0.25">
      <c r="A10" s="9">
        <v>1011</v>
      </c>
      <c r="B10" s="6" t="s">
        <v>32</v>
      </c>
      <c r="C10" s="7" t="s">
        <v>33</v>
      </c>
      <c r="D10" s="8">
        <v>30482</v>
      </c>
      <c r="E10" s="6" t="s">
        <v>9</v>
      </c>
      <c r="F10" s="6">
        <v>57000</v>
      </c>
      <c r="G10" s="10">
        <v>41680</v>
      </c>
      <c r="I10" s="32"/>
      <c r="J10" s="5" t="s">
        <v>4</v>
      </c>
      <c r="K10" s="33" t="s">
        <v>18</v>
      </c>
      <c r="L10" s="32"/>
      <c r="M10" s="32"/>
      <c r="N10" s="32"/>
      <c r="O10" s="32"/>
      <c r="P10" s="32"/>
      <c r="Q10" s="32"/>
      <c r="R10" s="32"/>
    </row>
    <row r="11" spans="1:18" x14ac:dyDescent="0.25">
      <c r="A11" s="9">
        <v>1012</v>
      </c>
      <c r="B11" s="6" t="s">
        <v>34</v>
      </c>
      <c r="C11" s="7" t="s">
        <v>35</v>
      </c>
      <c r="D11" s="8">
        <v>33092</v>
      </c>
      <c r="E11" s="6" t="s">
        <v>12</v>
      </c>
      <c r="F11" s="6">
        <v>50000</v>
      </c>
      <c r="G11" s="10">
        <v>42945</v>
      </c>
      <c r="I11" s="32"/>
      <c r="J11" s="5" t="s">
        <v>5</v>
      </c>
      <c r="K11" s="33">
        <v>30000</v>
      </c>
      <c r="L11" s="32"/>
      <c r="M11" s="32"/>
      <c r="N11" s="32"/>
      <c r="O11" s="32"/>
      <c r="P11" s="32"/>
      <c r="Q11" s="32"/>
      <c r="R11" s="32"/>
    </row>
    <row r="12" spans="1:18" x14ac:dyDescent="0.25">
      <c r="A12" s="9">
        <v>1013</v>
      </c>
      <c r="B12" s="6" t="s">
        <v>36</v>
      </c>
      <c r="C12" s="7" t="s">
        <v>37</v>
      </c>
      <c r="D12" s="8">
        <v>31007</v>
      </c>
      <c r="E12" s="6" t="s">
        <v>15</v>
      </c>
      <c r="F12" s="6">
        <v>63000</v>
      </c>
      <c r="G12" s="10">
        <v>41013</v>
      </c>
      <c r="I12" s="32"/>
      <c r="J12" s="5" t="s">
        <v>6</v>
      </c>
      <c r="K12" s="35">
        <v>46145</v>
      </c>
      <c r="L12" s="32"/>
      <c r="M12" s="32"/>
      <c r="N12" s="32"/>
      <c r="O12" s="32"/>
      <c r="P12" s="32"/>
      <c r="Q12" s="32"/>
      <c r="R12" s="32"/>
    </row>
    <row r="13" spans="1:18" x14ac:dyDescent="0.25">
      <c r="A13" s="9">
        <v>1014</v>
      </c>
      <c r="B13" s="6" t="s">
        <v>38</v>
      </c>
      <c r="C13" s="7" t="s">
        <v>39</v>
      </c>
      <c r="D13" s="8">
        <v>31541</v>
      </c>
      <c r="E13" s="6" t="s">
        <v>18</v>
      </c>
      <c r="F13" s="6">
        <v>51000</v>
      </c>
      <c r="G13" s="10">
        <v>42255</v>
      </c>
      <c r="I13" s="32"/>
      <c r="J13" s="32"/>
      <c r="K13" s="32"/>
      <c r="L13" s="32"/>
      <c r="M13" s="32"/>
      <c r="N13" s="32"/>
      <c r="O13" s="32"/>
      <c r="P13" s="32"/>
      <c r="Q13" s="32"/>
      <c r="R13" s="32"/>
    </row>
    <row r="14" spans="1:18" x14ac:dyDescent="0.25">
      <c r="A14" s="9">
        <v>1015</v>
      </c>
      <c r="B14" s="6" t="s">
        <v>40</v>
      </c>
      <c r="C14" s="7" t="s">
        <v>41</v>
      </c>
      <c r="D14" s="8">
        <v>32854</v>
      </c>
      <c r="E14" s="6" t="s">
        <v>21</v>
      </c>
      <c r="F14" s="6">
        <v>48000</v>
      </c>
      <c r="G14" s="10">
        <v>43177</v>
      </c>
      <c r="I14" s="32"/>
      <c r="J14" s="32"/>
      <c r="K14" s="32"/>
      <c r="L14" s="32"/>
      <c r="M14" s="32"/>
      <c r="N14" s="32"/>
      <c r="O14" s="32"/>
      <c r="P14" s="32"/>
      <c r="Q14" s="32"/>
      <c r="R14" s="32"/>
    </row>
    <row r="15" spans="1:18" x14ac:dyDescent="0.25">
      <c r="A15" s="9">
        <v>1016</v>
      </c>
      <c r="B15" s="6" t="s">
        <v>42</v>
      </c>
      <c r="C15" s="7" t="s">
        <v>43</v>
      </c>
      <c r="D15" s="8">
        <v>33333</v>
      </c>
      <c r="E15" s="6" t="s">
        <v>9</v>
      </c>
      <c r="F15" s="6">
        <v>56000</v>
      </c>
      <c r="G15" s="10">
        <v>42546</v>
      </c>
    </row>
    <row r="16" spans="1:18" x14ac:dyDescent="0.25">
      <c r="A16" s="9">
        <v>1017</v>
      </c>
      <c r="B16" s="6" t="s">
        <v>44</v>
      </c>
      <c r="C16" s="7" t="s">
        <v>45</v>
      </c>
      <c r="D16" s="8">
        <v>30185</v>
      </c>
      <c r="E16" s="6" t="s">
        <v>12</v>
      </c>
      <c r="F16" s="6">
        <v>49500</v>
      </c>
      <c r="G16" s="10">
        <v>41580</v>
      </c>
      <c r="I16" s="41">
        <f ca="1">COUNTIFS(G:G,"&gt;="&amp;TODAY()-365)</f>
        <v>1</v>
      </c>
      <c r="J16" s="42" t="s">
        <v>183</v>
      </c>
    </row>
    <row r="17" spans="1:7" x14ac:dyDescent="0.25">
      <c r="A17" s="9">
        <v>1018</v>
      </c>
      <c r="B17" s="6" t="s">
        <v>46</v>
      </c>
      <c r="C17" s="7" t="s">
        <v>47</v>
      </c>
      <c r="D17" s="8">
        <v>32432</v>
      </c>
      <c r="E17" s="6" t="s">
        <v>15</v>
      </c>
      <c r="F17" s="6">
        <v>61000</v>
      </c>
      <c r="G17" s="10">
        <v>42205</v>
      </c>
    </row>
    <row r="18" spans="1:7" x14ac:dyDescent="0.25">
      <c r="A18" s="9">
        <v>1019</v>
      </c>
      <c r="B18" s="6" t="s">
        <v>48</v>
      </c>
      <c r="C18" s="7" t="s">
        <v>49</v>
      </c>
      <c r="D18" s="8">
        <v>31863</v>
      </c>
      <c r="E18" s="6" t="s">
        <v>18</v>
      </c>
      <c r="F18" s="6">
        <v>52000</v>
      </c>
      <c r="G18" s="10">
        <v>42716</v>
      </c>
    </row>
    <row r="19" spans="1:7" x14ac:dyDescent="0.25">
      <c r="A19" s="9">
        <v>1020</v>
      </c>
      <c r="B19" s="6" t="s">
        <v>50</v>
      </c>
      <c r="C19" s="7" t="s">
        <v>51</v>
      </c>
      <c r="D19" s="8">
        <v>30481</v>
      </c>
      <c r="E19" s="6" t="s">
        <v>9</v>
      </c>
      <c r="F19" s="6">
        <v>57000</v>
      </c>
      <c r="G19" s="10">
        <v>41642</v>
      </c>
    </row>
    <row r="20" spans="1:7" x14ac:dyDescent="0.25">
      <c r="A20" s="9">
        <v>1021</v>
      </c>
      <c r="B20" s="6" t="s">
        <v>52</v>
      </c>
      <c r="C20" s="7" t="s">
        <v>53</v>
      </c>
      <c r="D20" s="8">
        <v>32773</v>
      </c>
      <c r="E20" s="6" t="s">
        <v>12</v>
      </c>
      <c r="F20" s="6">
        <v>49000</v>
      </c>
      <c r="G20" s="10">
        <v>42813</v>
      </c>
    </row>
    <row r="21" spans="1:7" x14ac:dyDescent="0.25">
      <c r="A21" s="9">
        <v>1022</v>
      </c>
      <c r="B21" s="6" t="s">
        <v>54</v>
      </c>
      <c r="C21" s="7" t="s">
        <v>55</v>
      </c>
      <c r="D21" s="8">
        <v>32086</v>
      </c>
      <c r="E21" s="6" t="s">
        <v>15</v>
      </c>
      <c r="F21" s="6">
        <v>61500</v>
      </c>
      <c r="G21" s="10">
        <v>41319</v>
      </c>
    </row>
    <row r="22" spans="1:7" x14ac:dyDescent="0.25">
      <c r="A22" s="9">
        <v>1023</v>
      </c>
      <c r="B22" s="6" t="s">
        <v>56</v>
      </c>
      <c r="C22" s="7" t="s">
        <v>57</v>
      </c>
      <c r="D22" s="8">
        <v>32912</v>
      </c>
      <c r="E22" s="6" t="s">
        <v>18</v>
      </c>
      <c r="F22" s="6">
        <v>52000</v>
      </c>
      <c r="G22" s="10">
        <v>42558</v>
      </c>
    </row>
    <row r="23" spans="1:7" x14ac:dyDescent="0.25">
      <c r="A23" s="9">
        <v>1024</v>
      </c>
      <c r="B23" s="6" t="s">
        <v>58</v>
      </c>
      <c r="C23" s="7" t="s">
        <v>59</v>
      </c>
      <c r="D23" s="8">
        <v>31398</v>
      </c>
      <c r="E23" s="6" t="s">
        <v>21</v>
      </c>
      <c r="F23" s="6">
        <v>48000</v>
      </c>
      <c r="G23" s="10">
        <v>43335</v>
      </c>
    </row>
    <row r="24" spans="1:7" x14ac:dyDescent="0.25">
      <c r="A24" s="9">
        <v>1025</v>
      </c>
      <c r="B24" s="6" t="s">
        <v>60</v>
      </c>
      <c r="C24" s="7" t="s">
        <v>61</v>
      </c>
      <c r="D24" s="8">
        <v>30070</v>
      </c>
      <c r="E24" s="6" t="s">
        <v>9</v>
      </c>
      <c r="F24" s="6">
        <v>56000</v>
      </c>
      <c r="G24" s="10">
        <v>41062</v>
      </c>
    </row>
    <row r="25" spans="1:7" x14ac:dyDescent="0.25">
      <c r="A25" s="9">
        <v>1026</v>
      </c>
      <c r="B25" s="6" t="s">
        <v>62</v>
      </c>
      <c r="C25" s="7" t="s">
        <v>63</v>
      </c>
      <c r="D25" s="8">
        <v>33300</v>
      </c>
      <c r="E25" s="6" t="s">
        <v>12</v>
      </c>
      <c r="F25" s="6">
        <v>50500</v>
      </c>
      <c r="G25" s="10">
        <v>43596</v>
      </c>
    </row>
    <row r="26" spans="1:7" x14ac:dyDescent="0.25">
      <c r="A26" s="9">
        <v>1027</v>
      </c>
      <c r="B26" s="6" t="s">
        <v>64</v>
      </c>
      <c r="C26" s="7" t="s">
        <v>65</v>
      </c>
      <c r="D26" s="8">
        <v>32345</v>
      </c>
      <c r="E26" s="6" t="s">
        <v>15</v>
      </c>
      <c r="F26" s="6">
        <v>60000</v>
      </c>
      <c r="G26" s="10">
        <v>42317</v>
      </c>
    </row>
    <row r="27" spans="1:7" x14ac:dyDescent="0.25">
      <c r="A27" s="9">
        <v>1028</v>
      </c>
      <c r="B27" s="6" t="s">
        <v>66</v>
      </c>
      <c r="C27" s="7" t="s">
        <v>67</v>
      </c>
      <c r="D27" s="8">
        <v>30969</v>
      </c>
      <c r="E27" s="6" t="s">
        <v>18</v>
      </c>
      <c r="F27" s="6">
        <v>51000</v>
      </c>
      <c r="G27" s="10">
        <v>41379</v>
      </c>
    </row>
    <row r="28" spans="1:7" x14ac:dyDescent="0.25">
      <c r="A28" s="9">
        <v>1029</v>
      </c>
      <c r="B28" s="6" t="s">
        <v>68</v>
      </c>
      <c r="C28" s="7" t="s">
        <v>69</v>
      </c>
      <c r="D28" s="8">
        <v>31903</v>
      </c>
      <c r="E28" s="6" t="s">
        <v>21</v>
      </c>
      <c r="F28" s="6">
        <v>49500</v>
      </c>
      <c r="G28" s="10">
        <v>43006</v>
      </c>
    </row>
    <row r="29" spans="1:7" x14ac:dyDescent="0.25">
      <c r="A29" s="9">
        <v>1030</v>
      </c>
      <c r="B29" s="6" t="s">
        <v>70</v>
      </c>
      <c r="C29" s="7" t="s">
        <v>71</v>
      </c>
      <c r="D29" s="8">
        <v>31072</v>
      </c>
      <c r="E29" s="6" t="s">
        <v>9</v>
      </c>
      <c r="F29" s="6">
        <v>58000</v>
      </c>
      <c r="G29" s="10">
        <v>42581</v>
      </c>
    </row>
    <row r="30" spans="1:7" x14ac:dyDescent="0.25">
      <c r="A30" s="9">
        <v>1031</v>
      </c>
      <c r="B30" s="6" t="s">
        <v>72</v>
      </c>
      <c r="C30" s="7" t="s">
        <v>73</v>
      </c>
      <c r="D30" s="8">
        <v>33195</v>
      </c>
      <c r="E30" s="6" t="s">
        <v>12</v>
      </c>
      <c r="F30" s="6">
        <v>50000</v>
      </c>
      <c r="G30" s="10">
        <v>43153</v>
      </c>
    </row>
    <row r="31" spans="1:7" x14ac:dyDescent="0.25">
      <c r="A31" s="9">
        <v>1032</v>
      </c>
      <c r="B31" s="6" t="s">
        <v>74</v>
      </c>
      <c r="C31" s="7" t="s">
        <v>75</v>
      </c>
      <c r="D31" s="8">
        <v>30111</v>
      </c>
      <c r="E31" s="6" t="s">
        <v>15</v>
      </c>
      <c r="F31" s="6">
        <v>62500</v>
      </c>
      <c r="G31" s="10">
        <v>41262</v>
      </c>
    </row>
    <row r="32" spans="1:7" x14ac:dyDescent="0.25">
      <c r="A32" s="9">
        <v>1033</v>
      </c>
      <c r="B32" s="6" t="s">
        <v>76</v>
      </c>
      <c r="C32" s="7" t="s">
        <v>77</v>
      </c>
      <c r="D32" s="8">
        <v>31651</v>
      </c>
      <c r="E32" s="6" t="s">
        <v>18</v>
      </c>
      <c r="F32" s="6">
        <v>51500</v>
      </c>
      <c r="G32" s="10">
        <v>42251</v>
      </c>
    </row>
    <row r="33" spans="1:7" x14ac:dyDescent="0.25">
      <c r="A33" s="9">
        <v>1034</v>
      </c>
      <c r="B33" s="6" t="s">
        <v>78</v>
      </c>
      <c r="C33" s="7" t="s">
        <v>79</v>
      </c>
      <c r="D33" s="8">
        <v>32579</v>
      </c>
      <c r="E33" s="6" t="s">
        <v>21</v>
      </c>
      <c r="F33" s="6">
        <v>48500</v>
      </c>
      <c r="G33" s="10">
        <v>43045</v>
      </c>
    </row>
    <row r="34" spans="1:7" x14ac:dyDescent="0.25">
      <c r="A34" s="9">
        <v>1035</v>
      </c>
      <c r="B34" s="6" t="s">
        <v>80</v>
      </c>
      <c r="C34" s="7" t="s">
        <v>81</v>
      </c>
      <c r="D34" s="8">
        <v>30367</v>
      </c>
      <c r="E34" s="6" t="s">
        <v>9</v>
      </c>
      <c r="F34" s="6">
        <v>56500</v>
      </c>
      <c r="G34" s="10">
        <v>41773</v>
      </c>
    </row>
    <row r="35" spans="1:7" x14ac:dyDescent="0.25">
      <c r="A35" s="9">
        <v>1036</v>
      </c>
      <c r="B35" s="6" t="s">
        <v>82</v>
      </c>
      <c r="C35" s="7" t="s">
        <v>83</v>
      </c>
      <c r="D35" s="8">
        <v>32031</v>
      </c>
      <c r="E35" s="6" t="s">
        <v>12</v>
      </c>
      <c r="F35" s="6">
        <v>49500</v>
      </c>
      <c r="G35" s="10">
        <v>42576</v>
      </c>
    </row>
    <row r="36" spans="1:7" x14ac:dyDescent="0.25">
      <c r="A36" s="9">
        <v>1037</v>
      </c>
      <c r="B36" s="6" t="s">
        <v>84</v>
      </c>
      <c r="C36" s="7" t="s">
        <v>85</v>
      </c>
      <c r="D36" s="8">
        <v>31411</v>
      </c>
      <c r="E36" s="6" t="s">
        <v>15</v>
      </c>
      <c r="F36" s="6">
        <v>61000</v>
      </c>
      <c r="G36" s="10">
        <v>41336</v>
      </c>
    </row>
    <row r="37" spans="1:7" x14ac:dyDescent="0.25">
      <c r="A37" s="9">
        <v>1038</v>
      </c>
      <c r="B37" s="6" t="s">
        <v>86</v>
      </c>
      <c r="C37" s="7" t="s">
        <v>87</v>
      </c>
      <c r="D37" s="8">
        <v>32967</v>
      </c>
      <c r="E37" s="6" t="s">
        <v>18</v>
      </c>
      <c r="F37" s="6">
        <v>52000</v>
      </c>
      <c r="G37" s="10">
        <v>43324</v>
      </c>
    </row>
    <row r="38" spans="1:7" x14ac:dyDescent="0.25">
      <c r="A38" s="14">
        <v>1039</v>
      </c>
      <c r="B38" s="15" t="s">
        <v>88</v>
      </c>
      <c r="C38" s="16" t="s">
        <v>89</v>
      </c>
      <c r="D38" s="17">
        <v>30852</v>
      </c>
      <c r="E38" s="15" t="s">
        <v>21</v>
      </c>
      <c r="F38" s="15">
        <v>49000</v>
      </c>
      <c r="G38" s="18">
        <v>42145</v>
      </c>
    </row>
    <row r="39" spans="1:7" x14ac:dyDescent="0.25">
      <c r="A39" s="33">
        <v>1041</v>
      </c>
      <c r="B39" s="33" t="s">
        <v>187</v>
      </c>
      <c r="C39" s="34" t="s">
        <v>188</v>
      </c>
      <c r="D39" s="35">
        <v>37987</v>
      </c>
      <c r="E39" s="33" t="s">
        <v>18</v>
      </c>
      <c r="F39" s="33">
        <v>30000</v>
      </c>
      <c r="G39" s="35">
        <v>46145</v>
      </c>
    </row>
  </sheetData>
  <mergeCells count="1">
    <mergeCell ref="J5:K5"/>
  </mergeCells>
  <hyperlinks>
    <hyperlink ref="C2" r:id="rId1" display="mailto:johndoe@email.com" xr:uid="{FF7FD323-240C-4DF8-BEB9-6CB685482368}"/>
    <hyperlink ref="C3" r:id="rId2" display="mailto:janesmith@email.com" xr:uid="{FF4099F0-C8C3-467C-875F-7529CA8E11CB}"/>
    <hyperlink ref="C4" r:id="rId3" display="mailto:charlied@email.com" xr:uid="{B84A0E1C-3726-47E8-B5D7-6025EDB9723C}"/>
    <hyperlink ref="C5" r:id="rId4" display="mailto:emilyw@email.com" xr:uid="{32DA8239-2DB5-47EC-BBBB-E4CC5E733F51}"/>
    <hyperlink ref="C6" r:id="rId5" display="mailto:frankh@email.com" xr:uid="{00D081A7-375A-49BB-A5FD-AEB2F52B3415}"/>
    <hyperlink ref="C7" r:id="rId6" display="mailto:grace.lee@email.com" xr:uid="{7038CCD6-168C-438F-B777-1C0D02D5EEBE}"/>
    <hyperlink ref="C8" r:id="rId7" display="mailto:henryk@email.com" xr:uid="{8B06D1D3-83B4-4553-B46A-209BC0B1CFE5}"/>
    <hyperlink ref="C9" r:id="rId8" display="mailto:isam@email.com" xr:uid="{5B16D29B-B6FA-4AE4-B3C0-1E3119CCEEBD}"/>
    <hyperlink ref="C10" r:id="rId9" display="mailto:jackt@email.com" xr:uid="{0CC395BE-14EC-497B-8099-3F8B9457D44A}"/>
    <hyperlink ref="C11" r:id="rId10" display="mailto:karena@email.com" xr:uid="{B34C1C7F-C400-4E67-80E8-AD3D5EF6D95E}"/>
    <hyperlink ref="C12" r:id="rId11" display="mailto:liamt@email.com" xr:uid="{A2153546-53A6-428B-B6CE-BDE4FEE55099}"/>
    <hyperlink ref="C13" r:id="rId12" display="mailto:miam@email.com" xr:uid="{F684B640-2ABA-420F-9DB1-2C29D70B6C6A}"/>
    <hyperlink ref="C14" r:id="rId13" display="mailto:noahj@email.com" xr:uid="{6657554E-AFEB-4F07-B059-B73307F5FFCA}"/>
    <hyperlink ref="C15" r:id="rId14" display="mailto:oliviaw@email.com" xr:uid="{8D4527AC-968E-4F47-98B5-E7CF73E04BCB}"/>
    <hyperlink ref="C16" r:id="rId15" display="mailto:paulh@email.com" xr:uid="{F139EEF7-5508-4526-AB91-904CCF5D4258}"/>
    <hyperlink ref="C17" r:id="rId16" display="mailto:quinnl@email.com" xr:uid="{99EAAA8F-7023-46B2-A991-69B2AB17B668}"/>
    <hyperlink ref="C18" r:id="rId17" display="mailto:rachely@email.com" xr:uid="{D3008D6C-8A0C-48C4-85C1-C162F5DC7E49}"/>
    <hyperlink ref="C19" r:id="rId18" display="mailto:samw@email.com" xr:uid="{81AD154D-7A24-467C-9FCA-E496D2FD78DD}"/>
    <hyperlink ref="C20" r:id="rId19" display="mailto:tinaa@email.com" xr:uid="{AFC04481-6B92-4BC9-86AF-79B2BAAA0B38}"/>
    <hyperlink ref="C21" r:id="rId20" display="mailto:umark@email.com" xr:uid="{34B609CE-8B97-4458-AD10-4124ADFDEA2F}"/>
    <hyperlink ref="C22" r:id="rId21" display="mailto:veras@email.com" xr:uid="{2C6B3485-D223-4FC2-AFB9-4C5657A7BCBC}"/>
    <hyperlink ref="C23" r:id="rId22" display="mailto:willb@email.com" xr:uid="{D168CD5A-E6EF-4464-BACB-4CB97735A0D6}"/>
    <hyperlink ref="C24" r:id="rId23" display="mailto:xavierp@email.com" xr:uid="{E8145AE6-0DF7-417D-BFF4-E41FF11F16B2}"/>
    <hyperlink ref="C25" r:id="rId24" display="mailto:yarat@email.com" xr:uid="{0A71C0C0-033F-4BE3-BACB-F86BED7D17DB}"/>
    <hyperlink ref="C26" r:id="rId25" display="mailto:zackl@email.com" xr:uid="{4B20DF7B-3907-4A2A-BC6D-3EBC43CE0790}"/>
    <hyperlink ref="C27" r:id="rId26" display="mailto:annac@email.com" xr:uid="{AC478CB8-DDCA-4D0B-AC17-319983153456}"/>
    <hyperlink ref="C28" r:id="rId27" display="mailto:benh@email.com" xr:uid="{95F30DBC-B439-44D1-A3FD-C8318C1DA46F}"/>
    <hyperlink ref="C29" r:id="rId28" display="mailto:chloew@email.com" xr:uid="{49574886-2C37-44EE-91AD-12A41A4074C9}"/>
    <hyperlink ref="C30" r:id="rId29" display="mailto:daniels@email.com" xr:uid="{0B2E09A9-4692-4DA6-93D9-E414B0DB64F8}"/>
    <hyperlink ref="C31" r:id="rId30" display="mailto:evag@email.com" xr:uid="{44D4787C-F93D-4703-828D-6AC204A7311B}"/>
    <hyperlink ref="C32" r:id="rId31" display="mailto:finny@email.com" xr:uid="{077972DE-1DE8-4B24-BF1F-BC528F617575}"/>
    <hyperlink ref="C33" r:id="rId32" display="mailto:ginat@email.com" xr:uid="{4D51BCF3-1D98-479F-8A56-7E0220AA1AE0}"/>
    <hyperlink ref="C34" r:id="rId33" display="mailto:harrym@email.com" xr:uid="{CFB74614-36A1-497B-9B12-C79AC98F983B}"/>
    <hyperlink ref="C35" r:id="rId34" display="mailto:islar@email.com" xr:uid="{52896BC0-625A-4DF0-8CFC-4826969AE5D0}"/>
    <hyperlink ref="C36" r:id="rId35" display="mailto:jackl@email.com" xr:uid="{D694EC45-7751-4312-8DED-F4DE5DAF7048}"/>
    <hyperlink ref="C37" r:id="rId36" display="mailto:karaw@email.com" xr:uid="{014D104B-27EF-47E0-A6AD-EAB54DFB1F18}"/>
    <hyperlink ref="C38" r:id="rId37" display="mailto:liamh@email.com" xr:uid="{2F22EFAB-5909-46E8-946A-6840D15774DE}"/>
  </hyperlinks>
  <pageMargins left="0.7" right="0.7" top="0.75" bottom="0.75" header="0.3" footer="0.3"/>
  <drawing r:id="rId38"/>
  <tableParts count="1">
    <tablePart r:id="rId3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35336-A505-4E2F-BD1E-2B4FF72586BC}">
  <sheetPr codeName="Sheet4"/>
  <dimension ref="A1:I42"/>
  <sheetViews>
    <sheetView workbookViewId="0">
      <selection sqref="A1:H10"/>
    </sheetView>
  </sheetViews>
  <sheetFormatPr defaultRowHeight="15" x14ac:dyDescent="0.25"/>
  <cols>
    <col min="1" max="1" width="41.5703125" customWidth="1"/>
    <col min="3" max="3" width="4.85546875" customWidth="1"/>
    <col min="4" max="5" width="4.28515625" customWidth="1"/>
    <col min="6" max="6" width="6.28515625" customWidth="1"/>
    <col min="9" max="9" width="11.5703125" customWidth="1"/>
  </cols>
  <sheetData>
    <row r="1" spans="1:9" ht="60" x14ac:dyDescent="0.25">
      <c r="A1" s="1" t="s">
        <v>0</v>
      </c>
      <c r="B1" s="1" t="s">
        <v>1</v>
      </c>
      <c r="C1" s="1" t="s">
        <v>2</v>
      </c>
      <c r="D1" s="1" t="s">
        <v>3</v>
      </c>
      <c r="E1" s="1"/>
      <c r="F1" s="1" t="s">
        <v>4</v>
      </c>
      <c r="G1" s="1" t="s">
        <v>5</v>
      </c>
      <c r="H1" s="1"/>
      <c r="I1" s="1" t="s">
        <v>6</v>
      </c>
    </row>
    <row r="2" spans="1:9" ht="90" x14ac:dyDescent="0.25">
      <c r="A2" s="2">
        <v>1001</v>
      </c>
      <c r="B2" s="2" t="s">
        <v>7</v>
      </c>
      <c r="C2" s="3" t="s">
        <v>8</v>
      </c>
      <c r="D2" s="30">
        <v>31179</v>
      </c>
      <c r="E2" s="30"/>
      <c r="F2" s="29" t="s">
        <v>9</v>
      </c>
      <c r="G2" s="2">
        <v>55000</v>
      </c>
      <c r="H2" s="2"/>
      <c r="I2" s="4">
        <v>42064</v>
      </c>
    </row>
    <row r="3" spans="1:9" x14ac:dyDescent="0.25">
      <c r="A3" s="2"/>
      <c r="B3" s="2"/>
      <c r="C3" s="3"/>
      <c r="D3" s="4"/>
      <c r="E3" s="4"/>
      <c r="F3" s="2"/>
      <c r="G3" s="2"/>
      <c r="H3" s="2"/>
      <c r="I3" s="4"/>
    </row>
    <row r="4" spans="1:9" ht="63" customHeight="1" x14ac:dyDescent="0.25">
      <c r="A4" s="2">
        <v>1002</v>
      </c>
      <c r="B4" s="2" t="s">
        <v>10</v>
      </c>
      <c r="C4" s="3" t="s">
        <v>11</v>
      </c>
      <c r="D4" s="4">
        <v>33200</v>
      </c>
      <c r="E4" s="4"/>
      <c r="F4" s="2" t="s">
        <v>12</v>
      </c>
      <c r="G4" s="2">
        <v>48000</v>
      </c>
      <c r="H4" s="2"/>
      <c r="I4" s="4">
        <v>43296</v>
      </c>
    </row>
    <row r="5" spans="1:9" ht="75" x14ac:dyDescent="0.25">
      <c r="A5" s="29">
        <v>1003</v>
      </c>
      <c r="B5" s="2" t="s">
        <v>13</v>
      </c>
      <c r="C5" s="3" t="s">
        <v>14</v>
      </c>
      <c r="D5" s="4">
        <v>30171</v>
      </c>
      <c r="E5" s="4"/>
      <c r="F5" s="2" t="s">
        <v>15</v>
      </c>
      <c r="G5" s="31">
        <v>62000</v>
      </c>
      <c r="H5" s="31"/>
      <c r="I5" s="4">
        <v>40929</v>
      </c>
    </row>
    <row r="6" spans="1:9" ht="105" x14ac:dyDescent="0.25">
      <c r="A6" s="29">
        <v>1004</v>
      </c>
      <c r="B6" s="2" t="s">
        <v>16</v>
      </c>
      <c r="C6" s="3" t="s">
        <v>17</v>
      </c>
      <c r="D6" s="4">
        <v>28975</v>
      </c>
      <c r="E6" s="4"/>
      <c r="F6" s="2" t="s">
        <v>18</v>
      </c>
      <c r="G6" s="31">
        <v>50000</v>
      </c>
      <c r="H6" s="31"/>
      <c r="I6" s="4">
        <v>42625</v>
      </c>
    </row>
    <row r="7" spans="1:9" ht="90" x14ac:dyDescent="0.25">
      <c r="A7" s="2">
        <v>1005</v>
      </c>
      <c r="B7" s="2" t="s">
        <v>19</v>
      </c>
      <c r="C7" s="3" t="s">
        <v>20</v>
      </c>
      <c r="D7" s="4">
        <v>32494</v>
      </c>
      <c r="E7" s="4"/>
      <c r="F7" s="2" t="s">
        <v>21</v>
      </c>
      <c r="G7" s="2">
        <v>47000</v>
      </c>
      <c r="H7" s="2"/>
      <c r="I7" s="4">
        <v>43044</v>
      </c>
    </row>
    <row r="8" spans="1:9" ht="90" x14ac:dyDescent="0.25">
      <c r="A8" s="2">
        <v>1001</v>
      </c>
      <c r="B8" s="2" t="s">
        <v>7</v>
      </c>
      <c r="C8" s="3" t="s">
        <v>8</v>
      </c>
      <c r="D8" s="4">
        <v>31179</v>
      </c>
      <c r="E8" s="4"/>
      <c r="F8" s="2" t="s">
        <v>9</v>
      </c>
      <c r="G8" s="2">
        <v>55000</v>
      </c>
      <c r="H8" s="2"/>
      <c r="I8" s="4">
        <v>42064</v>
      </c>
    </row>
    <row r="9" spans="1:9" ht="90" x14ac:dyDescent="0.25">
      <c r="A9" s="2">
        <v>1006</v>
      </c>
      <c r="B9" s="2" t="s">
        <v>22</v>
      </c>
      <c r="C9" s="3" t="s">
        <v>23</v>
      </c>
      <c r="D9" s="4">
        <v>33637</v>
      </c>
      <c r="E9" s="4"/>
      <c r="F9" s="2" t="s">
        <v>12</v>
      </c>
      <c r="G9" s="2">
        <v>51000</v>
      </c>
      <c r="H9" s="2"/>
      <c r="I9" s="4">
        <v>43639</v>
      </c>
    </row>
    <row r="10" spans="1:9" ht="90" x14ac:dyDescent="0.25">
      <c r="A10" s="2">
        <v>1007</v>
      </c>
      <c r="B10" s="2" t="s">
        <v>24</v>
      </c>
      <c r="C10" s="3" t="s">
        <v>25</v>
      </c>
      <c r="D10" s="4">
        <v>29489</v>
      </c>
      <c r="E10" s="4"/>
      <c r="F10" s="2" t="s">
        <v>9</v>
      </c>
      <c r="G10" s="2">
        <v>58000</v>
      </c>
      <c r="H10" s="2"/>
      <c r="I10" s="4">
        <v>41881</v>
      </c>
    </row>
    <row r="11" spans="1:9" ht="90" x14ac:dyDescent="0.25">
      <c r="A11" s="2">
        <v>1008</v>
      </c>
      <c r="B11" s="2" t="s">
        <v>26</v>
      </c>
      <c r="C11" s="3" t="s">
        <v>27</v>
      </c>
      <c r="D11" s="4">
        <v>31058</v>
      </c>
      <c r="E11" s="4"/>
      <c r="F11" s="2" t="s">
        <v>15</v>
      </c>
      <c r="G11" s="2">
        <v>60000</v>
      </c>
      <c r="H11" s="2"/>
      <c r="I11" s="4">
        <v>41411</v>
      </c>
    </row>
    <row r="12" spans="1:9" ht="90" x14ac:dyDescent="0.25">
      <c r="A12" s="2">
        <v>1009</v>
      </c>
      <c r="B12" s="2" t="s">
        <v>28</v>
      </c>
      <c r="C12" s="3" t="s">
        <v>29</v>
      </c>
      <c r="D12" s="4">
        <v>33438</v>
      </c>
      <c r="E12" s="4"/>
      <c r="F12" s="2" t="s">
        <v>18</v>
      </c>
      <c r="G12" s="2">
        <v>52000</v>
      </c>
      <c r="H12" s="2"/>
      <c r="I12" s="4">
        <v>42665</v>
      </c>
    </row>
    <row r="13" spans="1:9" ht="75" x14ac:dyDescent="0.25">
      <c r="A13" s="2">
        <v>1010</v>
      </c>
      <c r="B13" s="2" t="s">
        <v>30</v>
      </c>
      <c r="C13" s="3" t="s">
        <v>31</v>
      </c>
      <c r="D13" s="4">
        <v>31864</v>
      </c>
      <c r="E13" s="4"/>
      <c r="F13" s="2" t="s">
        <v>21</v>
      </c>
      <c r="G13" s="2">
        <v>49000</v>
      </c>
      <c r="H13" s="2"/>
      <c r="I13" s="4">
        <v>43438</v>
      </c>
    </row>
    <row r="14" spans="1:9" ht="75" x14ac:dyDescent="0.25">
      <c r="A14" s="2">
        <v>1011</v>
      </c>
      <c r="B14" s="2" t="s">
        <v>32</v>
      </c>
      <c r="C14" s="3" t="s">
        <v>33</v>
      </c>
      <c r="D14" s="4">
        <v>30482</v>
      </c>
      <c r="E14" s="4"/>
      <c r="F14" s="2" t="s">
        <v>9</v>
      </c>
      <c r="G14" s="2">
        <v>57000</v>
      </c>
      <c r="H14" s="2"/>
      <c r="I14" s="4">
        <v>41680</v>
      </c>
    </row>
    <row r="15" spans="1:9" ht="90" x14ac:dyDescent="0.25">
      <c r="A15" s="2">
        <v>1012</v>
      </c>
      <c r="B15" s="2" t="s">
        <v>34</v>
      </c>
      <c r="C15" s="3" t="s">
        <v>35</v>
      </c>
      <c r="D15" s="4">
        <v>33092</v>
      </c>
      <c r="E15" s="4"/>
      <c r="F15" s="2" t="s">
        <v>12</v>
      </c>
      <c r="G15" s="2">
        <v>50000</v>
      </c>
      <c r="H15" s="2"/>
      <c r="I15" s="4">
        <v>42945</v>
      </c>
    </row>
    <row r="16" spans="1:9" ht="75" x14ac:dyDescent="0.25">
      <c r="A16" s="2">
        <v>1013</v>
      </c>
      <c r="B16" s="2" t="s">
        <v>36</v>
      </c>
      <c r="C16" s="3" t="s">
        <v>37</v>
      </c>
      <c r="D16" s="4">
        <v>31007</v>
      </c>
      <c r="E16" s="4"/>
      <c r="F16" s="2" t="s">
        <v>15</v>
      </c>
      <c r="G16" s="2">
        <v>63000</v>
      </c>
      <c r="H16" s="2"/>
      <c r="I16" s="4">
        <v>41013</v>
      </c>
    </row>
    <row r="17" spans="1:9" ht="75" x14ac:dyDescent="0.25">
      <c r="A17" s="2">
        <v>1014</v>
      </c>
      <c r="B17" s="2" t="s">
        <v>38</v>
      </c>
      <c r="C17" s="3" t="s">
        <v>39</v>
      </c>
      <c r="D17" s="4">
        <v>31541</v>
      </c>
      <c r="E17" s="4"/>
      <c r="F17" s="2" t="s">
        <v>18</v>
      </c>
      <c r="G17" s="2">
        <v>51000</v>
      </c>
      <c r="H17" s="2"/>
      <c r="I17" s="4">
        <v>42255</v>
      </c>
    </row>
    <row r="18" spans="1:9" ht="75" x14ac:dyDescent="0.25">
      <c r="A18" s="2">
        <v>1015</v>
      </c>
      <c r="B18" s="2" t="s">
        <v>40</v>
      </c>
      <c r="C18" s="3" t="s">
        <v>41</v>
      </c>
      <c r="D18" s="4">
        <v>32854</v>
      </c>
      <c r="E18" s="4"/>
      <c r="F18" s="2" t="s">
        <v>21</v>
      </c>
      <c r="G18" s="2">
        <v>48000</v>
      </c>
      <c r="H18" s="2"/>
      <c r="I18" s="4">
        <v>43177</v>
      </c>
    </row>
    <row r="19" spans="1:9" ht="90" x14ac:dyDescent="0.25">
      <c r="A19" s="2">
        <v>1016</v>
      </c>
      <c r="B19" s="2" t="s">
        <v>42</v>
      </c>
      <c r="C19" s="3" t="s">
        <v>43</v>
      </c>
      <c r="D19" s="4">
        <v>33333</v>
      </c>
      <c r="E19" s="4"/>
      <c r="F19" s="2" t="s">
        <v>9</v>
      </c>
      <c r="G19" s="2">
        <v>56000</v>
      </c>
      <c r="H19" s="2"/>
      <c r="I19" s="4">
        <v>42546</v>
      </c>
    </row>
    <row r="20" spans="1:9" ht="75" x14ac:dyDescent="0.25">
      <c r="A20" s="2">
        <v>1017</v>
      </c>
      <c r="B20" s="2" t="s">
        <v>44</v>
      </c>
      <c r="C20" s="3" t="s">
        <v>45</v>
      </c>
      <c r="D20" s="4">
        <v>30185</v>
      </c>
      <c r="E20" s="4"/>
      <c r="F20" s="2" t="s">
        <v>12</v>
      </c>
      <c r="G20" s="2">
        <v>49500</v>
      </c>
      <c r="H20" s="2"/>
      <c r="I20" s="4">
        <v>41580</v>
      </c>
    </row>
    <row r="21" spans="1:9" ht="90" x14ac:dyDescent="0.25">
      <c r="A21" s="2">
        <v>1018</v>
      </c>
      <c r="B21" s="2" t="s">
        <v>46</v>
      </c>
      <c r="C21" s="3" t="s">
        <v>47</v>
      </c>
      <c r="D21" s="4">
        <v>32432</v>
      </c>
      <c r="E21" s="4"/>
      <c r="F21" s="2" t="s">
        <v>15</v>
      </c>
      <c r="G21" s="2">
        <v>61000</v>
      </c>
      <c r="H21" s="2"/>
      <c r="I21" s="4">
        <v>42205</v>
      </c>
    </row>
    <row r="22" spans="1:9" ht="90" x14ac:dyDescent="0.25">
      <c r="A22" s="2">
        <v>1019</v>
      </c>
      <c r="B22" s="2" t="s">
        <v>48</v>
      </c>
      <c r="C22" s="3" t="s">
        <v>49</v>
      </c>
      <c r="D22" s="4">
        <v>31863</v>
      </c>
      <c r="E22" s="4"/>
      <c r="F22" s="2" t="s">
        <v>18</v>
      </c>
      <c r="G22" s="2">
        <v>52000</v>
      </c>
      <c r="H22" s="2"/>
      <c r="I22" s="4">
        <v>42716</v>
      </c>
    </row>
    <row r="23" spans="1:9" ht="90" x14ac:dyDescent="0.25">
      <c r="A23" s="2">
        <v>1001</v>
      </c>
      <c r="B23" s="2" t="s">
        <v>7</v>
      </c>
      <c r="C23" s="3" t="s">
        <v>8</v>
      </c>
      <c r="D23" s="4">
        <v>31179</v>
      </c>
      <c r="E23" s="4"/>
      <c r="F23" s="2" t="s">
        <v>9</v>
      </c>
      <c r="G23" s="2">
        <v>55000</v>
      </c>
      <c r="H23" s="2"/>
      <c r="I23" s="4">
        <v>42064</v>
      </c>
    </row>
    <row r="24" spans="1:9" ht="90" x14ac:dyDescent="0.25">
      <c r="A24" s="2">
        <v>1002</v>
      </c>
      <c r="B24" s="2" t="s">
        <v>10</v>
      </c>
      <c r="C24" s="3" t="s">
        <v>11</v>
      </c>
      <c r="D24" s="4">
        <v>33200</v>
      </c>
      <c r="E24" s="4"/>
      <c r="F24" s="2" t="s">
        <v>12</v>
      </c>
      <c r="G24" s="2">
        <v>48000</v>
      </c>
      <c r="H24" s="2"/>
      <c r="I24" s="4">
        <v>43296</v>
      </c>
    </row>
    <row r="25" spans="1:9" ht="75" x14ac:dyDescent="0.25">
      <c r="A25" s="2">
        <v>1003</v>
      </c>
      <c r="B25" s="2" t="s">
        <v>13</v>
      </c>
      <c r="C25" s="3" t="s">
        <v>14</v>
      </c>
      <c r="D25" s="4">
        <v>30171</v>
      </c>
      <c r="E25" s="4"/>
      <c r="F25" s="2" t="s">
        <v>15</v>
      </c>
      <c r="G25" s="2">
        <v>62000</v>
      </c>
      <c r="H25" s="2"/>
      <c r="I25" s="4">
        <v>40929</v>
      </c>
    </row>
    <row r="26" spans="1:9" ht="105" x14ac:dyDescent="0.25">
      <c r="A26" s="2">
        <v>1004</v>
      </c>
      <c r="B26" s="2" t="s">
        <v>16</v>
      </c>
      <c r="C26" s="3" t="s">
        <v>17</v>
      </c>
      <c r="D26" s="4">
        <v>28975</v>
      </c>
      <c r="E26" s="4"/>
      <c r="F26" s="2" t="s">
        <v>18</v>
      </c>
      <c r="G26" s="2">
        <v>50000</v>
      </c>
      <c r="H26" s="2"/>
      <c r="I26" s="4">
        <v>42625</v>
      </c>
    </row>
    <row r="27" spans="1:9" ht="90" x14ac:dyDescent="0.25">
      <c r="A27" s="2">
        <v>1005</v>
      </c>
      <c r="B27" s="2" t="s">
        <v>19</v>
      </c>
      <c r="C27" s="3" t="s">
        <v>20</v>
      </c>
      <c r="D27" s="4">
        <v>32494</v>
      </c>
      <c r="E27" s="4"/>
      <c r="F27" s="2" t="s">
        <v>21</v>
      </c>
      <c r="G27" s="2">
        <v>47000</v>
      </c>
      <c r="H27" s="2"/>
      <c r="I27" s="4">
        <v>43044</v>
      </c>
    </row>
    <row r="28" spans="1:9" ht="90" x14ac:dyDescent="0.25">
      <c r="A28" s="2">
        <v>1001</v>
      </c>
      <c r="B28" s="2" t="s">
        <v>7</v>
      </c>
      <c r="C28" s="3" t="s">
        <v>8</v>
      </c>
      <c r="D28" s="4">
        <v>31179</v>
      </c>
      <c r="E28" s="4"/>
      <c r="F28" s="2" t="s">
        <v>9</v>
      </c>
      <c r="G28" s="2">
        <v>55000</v>
      </c>
      <c r="H28" s="2"/>
      <c r="I28" s="4">
        <v>42064</v>
      </c>
    </row>
    <row r="29" spans="1:9" ht="90" x14ac:dyDescent="0.25">
      <c r="A29" s="2">
        <v>1006</v>
      </c>
      <c r="B29" s="2" t="s">
        <v>22</v>
      </c>
      <c r="C29" s="3" t="s">
        <v>23</v>
      </c>
      <c r="D29" s="4">
        <v>33637</v>
      </c>
      <c r="E29" s="4"/>
      <c r="F29" s="2" t="s">
        <v>12</v>
      </c>
      <c r="G29" s="2">
        <v>51000</v>
      </c>
      <c r="H29" s="2"/>
      <c r="I29" s="4">
        <v>43639</v>
      </c>
    </row>
    <row r="30" spans="1:9" ht="90" x14ac:dyDescent="0.25">
      <c r="A30" s="2">
        <v>1007</v>
      </c>
      <c r="B30" s="2" t="s">
        <v>24</v>
      </c>
      <c r="C30" s="3" t="s">
        <v>25</v>
      </c>
      <c r="D30" s="4">
        <v>29489</v>
      </c>
      <c r="E30" s="4"/>
      <c r="F30" s="2" t="s">
        <v>9</v>
      </c>
      <c r="G30" s="2">
        <v>58000</v>
      </c>
      <c r="H30" s="2"/>
      <c r="I30" s="4">
        <v>41881</v>
      </c>
    </row>
    <row r="31" spans="1:9" ht="90" x14ac:dyDescent="0.25">
      <c r="A31" s="2">
        <v>1008</v>
      </c>
      <c r="B31" s="2" t="s">
        <v>26</v>
      </c>
      <c r="C31" s="3" t="s">
        <v>27</v>
      </c>
      <c r="D31" s="4">
        <v>31058</v>
      </c>
      <c r="E31" s="4"/>
      <c r="F31" s="2" t="s">
        <v>15</v>
      </c>
      <c r="G31" s="2">
        <v>60000</v>
      </c>
      <c r="H31" s="2"/>
      <c r="I31" s="4">
        <v>41411</v>
      </c>
    </row>
    <row r="32" spans="1:9" ht="90" x14ac:dyDescent="0.25">
      <c r="A32" s="2">
        <v>1009</v>
      </c>
      <c r="B32" s="2" t="s">
        <v>28</v>
      </c>
      <c r="C32" s="3" t="s">
        <v>29</v>
      </c>
      <c r="D32" s="4">
        <v>33438</v>
      </c>
      <c r="E32" s="4"/>
      <c r="F32" s="2" t="s">
        <v>18</v>
      </c>
      <c r="G32" s="2">
        <v>52000</v>
      </c>
      <c r="H32" s="2"/>
      <c r="I32" s="4">
        <v>42665</v>
      </c>
    </row>
    <row r="33" spans="1:9" ht="75" x14ac:dyDescent="0.25">
      <c r="A33" s="2">
        <v>1010</v>
      </c>
      <c r="B33" s="2" t="s">
        <v>30</v>
      </c>
      <c r="C33" s="3" t="s">
        <v>31</v>
      </c>
      <c r="D33" s="4">
        <v>31864</v>
      </c>
      <c r="E33" s="4"/>
      <c r="F33" s="2" t="s">
        <v>21</v>
      </c>
      <c r="G33" s="2">
        <v>49000</v>
      </c>
      <c r="H33" s="2"/>
      <c r="I33" s="4">
        <v>43438</v>
      </c>
    </row>
    <row r="34" spans="1:9" ht="75" x14ac:dyDescent="0.25">
      <c r="A34" s="2">
        <v>1011</v>
      </c>
      <c r="B34" s="2" t="s">
        <v>32</v>
      </c>
      <c r="C34" s="3" t="s">
        <v>33</v>
      </c>
      <c r="D34" s="4">
        <v>30482</v>
      </c>
      <c r="E34" s="4"/>
      <c r="F34" s="2" t="s">
        <v>9</v>
      </c>
      <c r="G34" s="2">
        <v>57000</v>
      </c>
      <c r="H34" s="2"/>
      <c r="I34" s="4">
        <v>41680</v>
      </c>
    </row>
    <row r="35" spans="1:9" ht="90" x14ac:dyDescent="0.25">
      <c r="A35" s="2">
        <v>1012</v>
      </c>
      <c r="B35" s="2" t="s">
        <v>34</v>
      </c>
      <c r="C35" s="3" t="s">
        <v>35</v>
      </c>
      <c r="D35" s="4">
        <v>33092</v>
      </c>
      <c r="E35" s="4"/>
      <c r="F35" s="2" t="s">
        <v>12</v>
      </c>
      <c r="G35" s="2">
        <v>50000</v>
      </c>
      <c r="H35" s="2"/>
      <c r="I35" s="4">
        <v>42945</v>
      </c>
    </row>
    <row r="36" spans="1:9" ht="75" x14ac:dyDescent="0.25">
      <c r="A36" s="2">
        <v>1013</v>
      </c>
      <c r="B36" s="2" t="s">
        <v>36</v>
      </c>
      <c r="C36" s="3" t="s">
        <v>37</v>
      </c>
      <c r="D36" s="4">
        <v>31007</v>
      </c>
      <c r="E36" s="4"/>
      <c r="F36" s="2" t="s">
        <v>15</v>
      </c>
      <c r="G36" s="2">
        <v>63000</v>
      </c>
      <c r="H36" s="2"/>
      <c r="I36" s="4">
        <v>41013</v>
      </c>
    </row>
    <row r="37" spans="1:9" ht="75" x14ac:dyDescent="0.25">
      <c r="A37" s="2">
        <v>1014</v>
      </c>
      <c r="B37" s="2" t="s">
        <v>38</v>
      </c>
      <c r="C37" s="3" t="s">
        <v>39</v>
      </c>
      <c r="D37" s="4">
        <v>31541</v>
      </c>
      <c r="E37" s="4"/>
      <c r="F37" s="2" t="s">
        <v>18</v>
      </c>
      <c r="G37" s="2">
        <v>51000</v>
      </c>
      <c r="H37" s="2"/>
      <c r="I37" s="4">
        <v>42255</v>
      </c>
    </row>
    <row r="38" spans="1:9" ht="75" x14ac:dyDescent="0.25">
      <c r="A38" s="2">
        <v>1015</v>
      </c>
      <c r="B38" s="2" t="s">
        <v>40</v>
      </c>
      <c r="C38" s="3" t="s">
        <v>41</v>
      </c>
      <c r="D38" s="4">
        <v>32854</v>
      </c>
      <c r="E38" s="4"/>
      <c r="F38" s="2" t="s">
        <v>21</v>
      </c>
      <c r="G38" s="2">
        <v>48000</v>
      </c>
      <c r="H38" s="2"/>
      <c r="I38" s="4">
        <v>43177</v>
      </c>
    </row>
    <row r="39" spans="1:9" ht="90" x14ac:dyDescent="0.25">
      <c r="A39" s="2">
        <v>1016</v>
      </c>
      <c r="B39" s="2" t="s">
        <v>42</v>
      </c>
      <c r="C39" s="3" t="s">
        <v>43</v>
      </c>
      <c r="D39" s="4">
        <v>33333</v>
      </c>
      <c r="E39" s="4"/>
      <c r="F39" s="2" t="s">
        <v>9</v>
      </c>
      <c r="G39" s="2">
        <v>56000</v>
      </c>
      <c r="H39" s="2"/>
      <c r="I39" s="4">
        <v>42546</v>
      </c>
    </row>
    <row r="40" spans="1:9" ht="75" x14ac:dyDescent="0.25">
      <c r="A40" s="2">
        <v>1017</v>
      </c>
      <c r="B40" s="2" t="s">
        <v>44</v>
      </c>
      <c r="C40" s="3" t="s">
        <v>45</v>
      </c>
      <c r="D40" s="4">
        <v>30185</v>
      </c>
      <c r="E40" s="4"/>
      <c r="F40" s="2" t="s">
        <v>12</v>
      </c>
      <c r="G40" s="2">
        <v>49500</v>
      </c>
      <c r="H40" s="2"/>
      <c r="I40" s="4">
        <v>41580</v>
      </c>
    </row>
    <row r="41" spans="1:9" ht="90" x14ac:dyDescent="0.25">
      <c r="A41" s="2">
        <v>1018</v>
      </c>
      <c r="B41" s="2" t="s">
        <v>46</v>
      </c>
      <c r="C41" s="3" t="s">
        <v>47</v>
      </c>
      <c r="D41" s="4">
        <v>32432</v>
      </c>
      <c r="E41" s="4"/>
      <c r="F41" s="2" t="s">
        <v>15</v>
      </c>
      <c r="G41" s="2">
        <v>61000</v>
      </c>
      <c r="H41" s="2"/>
      <c r="I41" s="4">
        <v>42205</v>
      </c>
    </row>
    <row r="42" spans="1:9" ht="90" x14ac:dyDescent="0.25">
      <c r="A42" s="2">
        <v>1019</v>
      </c>
      <c r="B42" s="2" t="s">
        <v>48</v>
      </c>
      <c r="C42" s="3" t="s">
        <v>49</v>
      </c>
      <c r="D42" s="4">
        <v>31863</v>
      </c>
      <c r="E42" s="4"/>
      <c r="F42" s="2" t="s">
        <v>18</v>
      </c>
      <c r="G42" s="2">
        <v>52000</v>
      </c>
      <c r="H42" s="2"/>
      <c r="I42" s="4">
        <v>42716</v>
      </c>
    </row>
  </sheetData>
  <hyperlinks>
    <hyperlink ref="C2" r:id="rId1" display="mailto:johndoe@email.com" xr:uid="{D0724EB3-7F61-4E4D-B3E5-221F8369F708}"/>
    <hyperlink ref="C4" r:id="rId2" display="mailto:janesmith@email.com" xr:uid="{DE2152A0-22B7-4618-BA59-ABF6B281E9FE}"/>
    <hyperlink ref="C5" r:id="rId3" display="mailto:alicej@email.com" xr:uid="{71AA009A-E688-46E8-AC33-351B2FB19BE3}"/>
    <hyperlink ref="C6" r:id="rId4" display="mailto:bob.brown@email.com" xr:uid="{88675770-729B-4842-8306-A6FCD969F58C}"/>
    <hyperlink ref="C7" r:id="rId5" display="mailto:charlied@email.com" xr:uid="{2B61D8E3-9D36-4853-8EF2-7BAD7702D662}"/>
    <hyperlink ref="C8" r:id="rId6" display="mailto:johndoe@email.com" xr:uid="{F5639CB8-3A1B-4B4B-8ACA-8F8698636BE3}"/>
    <hyperlink ref="C9" r:id="rId7" display="mailto:emilyw@email.com" xr:uid="{4CFF76A0-BE74-4B04-80FC-2D09563190F9}"/>
    <hyperlink ref="C10" r:id="rId8" display="mailto:frankh@email.com" xr:uid="{62FFE23A-EF6F-46CB-A453-ECC858A82E8E}"/>
    <hyperlink ref="C11" r:id="rId9" display="mailto:grace.lee@email.com" xr:uid="{81D972E5-401F-475F-9416-CC19AE2AF720}"/>
    <hyperlink ref="C12" r:id="rId10" display="mailto:henryk@email.com" xr:uid="{0B0C48FD-B695-4B0D-8B93-D4571B3FB198}"/>
    <hyperlink ref="C13" r:id="rId11" display="mailto:isam@email.com" xr:uid="{4431C868-BA98-4887-9996-85E7F546C0D7}"/>
    <hyperlink ref="C14" r:id="rId12" display="mailto:jackt@email.com" xr:uid="{9E45A8B7-563F-4ACF-921D-BAF39D12F717}"/>
    <hyperlink ref="C15" r:id="rId13" display="mailto:karena@email.com" xr:uid="{D6D09E70-FB44-4F9A-8D6F-E1F10D5DAD5B}"/>
    <hyperlink ref="C16" r:id="rId14" display="mailto:liamt@email.com" xr:uid="{D766AF33-8F73-414E-BFC3-8B0C6304673C}"/>
    <hyperlink ref="C17" r:id="rId15" display="mailto:miam@email.com" xr:uid="{49512E38-AAF8-4114-B64D-95DDCA9326E6}"/>
    <hyperlink ref="C18" r:id="rId16" display="mailto:noahj@email.com" xr:uid="{AC4A145A-ABFB-4625-814D-62684CDC4DF0}"/>
    <hyperlink ref="C19" r:id="rId17" display="mailto:oliviaw@email.com" xr:uid="{3F031D02-3DF8-4801-88F5-3A97C631E35B}"/>
    <hyperlink ref="C20" r:id="rId18" display="mailto:paulh@email.com" xr:uid="{460FD70D-D289-46F9-8377-F16D8C43D11D}"/>
    <hyperlink ref="C21" r:id="rId19" display="mailto:quinnl@email.com" xr:uid="{0840F9E9-8E1E-4AC0-A582-7DFD2865016F}"/>
    <hyperlink ref="C22" r:id="rId20" display="mailto:rachely@email.com" xr:uid="{438B756C-E595-4F6F-BA54-0DACCA0AD03A}"/>
    <hyperlink ref="C23" r:id="rId21" display="mailto:johndoe@email.com" xr:uid="{F79BF5BF-E538-4DF6-89E1-FF510FE3694E}"/>
    <hyperlink ref="C24" r:id="rId22" display="mailto:janesmith@email.com" xr:uid="{B2799060-82D6-4516-A7A2-AB8C157FA1D2}"/>
    <hyperlink ref="C25" r:id="rId23" display="mailto:alicej@email.com" xr:uid="{D5EA5C8E-325B-4D48-BAD1-65AC50C158C8}"/>
    <hyperlink ref="C26" r:id="rId24" display="mailto:bob.brown@email.com" xr:uid="{4FB46FD0-4B1F-42DD-AFA0-6E889D251B3B}"/>
    <hyperlink ref="C27" r:id="rId25" display="mailto:charlied@email.com" xr:uid="{DA920EED-3641-4AD8-801D-945B52CA4D10}"/>
    <hyperlink ref="C28" r:id="rId26" display="mailto:johndoe@email.com" xr:uid="{E8237809-628D-48F8-9918-C06D0468682B}"/>
    <hyperlink ref="C29" r:id="rId27" display="mailto:emilyw@email.com" xr:uid="{C105DC69-295F-40CA-A122-FD589C9584C1}"/>
    <hyperlink ref="C30" r:id="rId28" display="mailto:frankh@email.com" xr:uid="{A72B23E5-C822-4177-A823-781098D0C75E}"/>
    <hyperlink ref="C31" r:id="rId29" display="mailto:grace.lee@email.com" xr:uid="{4A8B9CA1-EFEF-4582-9EC8-937B8F0CCBA3}"/>
    <hyperlink ref="C32" r:id="rId30" display="mailto:henryk@email.com" xr:uid="{F8B47DE6-37CB-4DD5-8C88-3AB9B93B40AF}"/>
    <hyperlink ref="C33" r:id="rId31" display="mailto:isam@email.com" xr:uid="{BB54FB75-E0B8-42E7-B625-E4AD249F8BED}"/>
    <hyperlink ref="C34" r:id="rId32" display="mailto:jackt@email.com" xr:uid="{957119CE-B8B2-484F-A86C-06D23378A605}"/>
    <hyperlink ref="C35" r:id="rId33" display="mailto:karena@email.com" xr:uid="{4551482C-29E6-466B-9EC5-2EDE70A40D3B}"/>
    <hyperlink ref="C36" r:id="rId34" display="mailto:liamt@email.com" xr:uid="{6BEA4B06-E251-43EE-83AB-60E54ADAB661}"/>
    <hyperlink ref="C37" r:id="rId35" display="mailto:miam@email.com" xr:uid="{7A96AC1A-25C4-4543-BFF9-A043EC60CF0A}"/>
    <hyperlink ref="C38" r:id="rId36" display="mailto:noahj@email.com" xr:uid="{9E06E9CF-5950-430E-98DD-B85A75D64B2B}"/>
    <hyperlink ref="C39" r:id="rId37" display="mailto:oliviaw@email.com" xr:uid="{8F768010-7BAE-4534-B9ED-34C719BC5BE5}"/>
    <hyperlink ref="C40" r:id="rId38" display="mailto:paulh@email.com" xr:uid="{F3A50674-664C-4509-86D7-D25BDECAF4B5}"/>
    <hyperlink ref="C41" r:id="rId39" display="mailto:quinnl@email.com" xr:uid="{C2CF6718-9737-47F0-8630-C89637CB64AA}"/>
    <hyperlink ref="C42" r:id="rId40" display="mailto:rachely@email.com" xr:uid="{8183E33B-9846-4BAC-8CBC-ABFA53D80E8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9F8D9-A5DF-45B2-AF8D-9B7623335DFB}">
  <sheetPr codeName="Sheet1"/>
  <dimension ref="A3:C75"/>
  <sheetViews>
    <sheetView workbookViewId="0">
      <selection activeCell="E10" sqref="E10"/>
    </sheetView>
  </sheetViews>
  <sheetFormatPr defaultRowHeight="15" x14ac:dyDescent="0.25"/>
  <cols>
    <col min="1" max="1" width="14" bestFit="1" customWidth="1"/>
    <col min="2" max="2" width="10" bestFit="1" customWidth="1"/>
    <col min="3" max="3" width="12.85546875" bestFit="1" customWidth="1"/>
  </cols>
  <sheetData>
    <row r="3" spans="1:2" x14ac:dyDescent="0.25">
      <c r="A3" s="36" t="s">
        <v>4</v>
      </c>
      <c r="B3" t="s">
        <v>176</v>
      </c>
    </row>
    <row r="4" spans="1:2" x14ac:dyDescent="0.25">
      <c r="A4" s="37" t="s">
        <v>15</v>
      </c>
      <c r="B4" s="45">
        <v>8</v>
      </c>
    </row>
    <row r="5" spans="1:2" x14ac:dyDescent="0.25">
      <c r="A5" s="37" t="s">
        <v>12</v>
      </c>
      <c r="B5" s="45">
        <v>8</v>
      </c>
    </row>
    <row r="6" spans="1:2" x14ac:dyDescent="0.25">
      <c r="A6" s="37" t="s">
        <v>9</v>
      </c>
      <c r="B6" s="45">
        <v>8</v>
      </c>
    </row>
    <row r="7" spans="1:2" x14ac:dyDescent="0.25">
      <c r="A7" s="37" t="s">
        <v>18</v>
      </c>
      <c r="B7" s="45">
        <v>7</v>
      </c>
    </row>
    <row r="8" spans="1:2" x14ac:dyDescent="0.25">
      <c r="A8" s="37" t="s">
        <v>21</v>
      </c>
      <c r="B8" s="45">
        <v>7</v>
      </c>
    </row>
    <row r="9" spans="1:2" x14ac:dyDescent="0.25">
      <c r="A9" s="37" t="s">
        <v>175</v>
      </c>
      <c r="B9" s="45">
        <v>38</v>
      </c>
    </row>
    <row r="10" spans="1:2" x14ac:dyDescent="0.25">
      <c r="B10">
        <f>GETPIVOTDATA("Name",$A$3)</f>
        <v>38</v>
      </c>
    </row>
    <row r="18" spans="1:2" x14ac:dyDescent="0.25">
      <c r="A18" s="36" t="s">
        <v>4</v>
      </c>
      <c r="B18" t="s">
        <v>181</v>
      </c>
    </row>
    <row r="19" spans="1:2" x14ac:dyDescent="0.25">
      <c r="A19" s="37" t="s">
        <v>15</v>
      </c>
      <c r="B19" s="45">
        <v>449000</v>
      </c>
    </row>
    <row r="20" spans="1:2" x14ac:dyDescent="0.25">
      <c r="A20" s="37" t="s">
        <v>12</v>
      </c>
      <c r="B20" s="45">
        <v>397500</v>
      </c>
    </row>
    <row r="21" spans="1:2" x14ac:dyDescent="0.25">
      <c r="A21" s="37" t="s">
        <v>9</v>
      </c>
      <c r="B21" s="45">
        <v>453500</v>
      </c>
    </row>
    <row r="22" spans="1:2" x14ac:dyDescent="0.25">
      <c r="A22" s="37" t="s">
        <v>18</v>
      </c>
      <c r="B22" s="45">
        <v>361500</v>
      </c>
    </row>
    <row r="23" spans="1:2" x14ac:dyDescent="0.25">
      <c r="A23" s="37" t="s">
        <v>21</v>
      </c>
      <c r="B23" s="45">
        <v>339000</v>
      </c>
    </row>
    <row r="24" spans="1:2" x14ac:dyDescent="0.25">
      <c r="A24" s="37" t="s">
        <v>175</v>
      </c>
      <c r="B24" s="45">
        <v>2000500</v>
      </c>
    </row>
    <row r="35" spans="1:3" x14ac:dyDescent="0.25">
      <c r="A35" s="36" t="s">
        <v>4</v>
      </c>
      <c r="B35" t="s">
        <v>180</v>
      </c>
    </row>
    <row r="36" spans="1:3" x14ac:dyDescent="0.25">
      <c r="A36" s="37" t="s">
        <v>15</v>
      </c>
      <c r="B36" s="45">
        <v>8</v>
      </c>
    </row>
    <row r="37" spans="1:3" x14ac:dyDescent="0.25">
      <c r="A37" s="37" t="s">
        <v>12</v>
      </c>
      <c r="B37" s="45">
        <v>8</v>
      </c>
    </row>
    <row r="38" spans="1:3" x14ac:dyDescent="0.25">
      <c r="A38" s="37" t="s">
        <v>9</v>
      </c>
      <c r="B38" s="45">
        <v>8</v>
      </c>
    </row>
    <row r="39" spans="1:3" x14ac:dyDescent="0.25">
      <c r="A39" s="37" t="s">
        <v>18</v>
      </c>
      <c r="B39" s="45">
        <v>7</v>
      </c>
      <c r="C39" t="s">
        <v>179</v>
      </c>
    </row>
    <row r="40" spans="1:3" x14ac:dyDescent="0.25">
      <c r="A40" s="37" t="s">
        <v>21</v>
      </c>
      <c r="B40" s="45">
        <v>7</v>
      </c>
    </row>
    <row r="41" spans="1:3" x14ac:dyDescent="0.25">
      <c r="A41" s="37" t="s">
        <v>175</v>
      </c>
      <c r="B41" s="45">
        <v>38</v>
      </c>
    </row>
    <row r="51" spans="1:2" x14ac:dyDescent="0.25">
      <c r="A51" s="36" t="s">
        <v>4</v>
      </c>
      <c r="B51" t="s">
        <v>178</v>
      </c>
    </row>
    <row r="52" spans="1:2" x14ac:dyDescent="0.25">
      <c r="A52" s="37" t="s">
        <v>15</v>
      </c>
      <c r="B52" s="45">
        <v>56125</v>
      </c>
    </row>
    <row r="53" spans="1:2" x14ac:dyDescent="0.25">
      <c r="A53" s="37" t="s">
        <v>12</v>
      </c>
      <c r="B53" s="45">
        <v>49687.5</v>
      </c>
    </row>
    <row r="54" spans="1:2" x14ac:dyDescent="0.25">
      <c r="A54" s="37" t="s">
        <v>9</v>
      </c>
      <c r="B54" s="45">
        <v>56687.5</v>
      </c>
    </row>
    <row r="55" spans="1:2" x14ac:dyDescent="0.25">
      <c r="A55" s="37" t="s">
        <v>18</v>
      </c>
      <c r="B55" s="45">
        <v>51642.857142857145</v>
      </c>
    </row>
    <row r="56" spans="1:2" x14ac:dyDescent="0.25">
      <c r="A56" s="37" t="s">
        <v>21</v>
      </c>
      <c r="B56" s="45">
        <v>48428.571428571428</v>
      </c>
    </row>
    <row r="57" spans="1:2" x14ac:dyDescent="0.25">
      <c r="A57" s="37" t="s">
        <v>175</v>
      </c>
      <c r="B57" s="45">
        <v>52644.73684210526</v>
      </c>
    </row>
    <row r="58" spans="1:2" x14ac:dyDescent="0.25">
      <c r="A58" s="37" t="s">
        <v>182</v>
      </c>
      <c r="B58">
        <f>MAX(B52:B56)</f>
        <v>56687.5</v>
      </c>
    </row>
    <row r="69" spans="1:2" x14ac:dyDescent="0.25">
      <c r="A69" s="36" t="s">
        <v>4</v>
      </c>
      <c r="B69" t="s">
        <v>177</v>
      </c>
    </row>
    <row r="70" spans="1:2" x14ac:dyDescent="0.25">
      <c r="A70" s="37" t="s">
        <v>15</v>
      </c>
      <c r="B70" s="45">
        <v>449000</v>
      </c>
    </row>
    <row r="71" spans="1:2" x14ac:dyDescent="0.25">
      <c r="A71" s="37" t="s">
        <v>12</v>
      </c>
      <c r="B71" s="45">
        <v>397500</v>
      </c>
    </row>
    <row r="72" spans="1:2" x14ac:dyDescent="0.25">
      <c r="A72" s="37" t="s">
        <v>9</v>
      </c>
      <c r="B72" s="45">
        <v>453500</v>
      </c>
    </row>
    <row r="73" spans="1:2" x14ac:dyDescent="0.25">
      <c r="A73" s="37" t="s">
        <v>18</v>
      </c>
      <c r="B73" s="45">
        <v>361500</v>
      </c>
    </row>
    <row r="74" spans="1:2" x14ac:dyDescent="0.25">
      <c r="A74" s="37" t="s">
        <v>21</v>
      </c>
      <c r="B74" s="45">
        <v>339000</v>
      </c>
    </row>
    <row r="75" spans="1:2" x14ac:dyDescent="0.25">
      <c r="A75" s="37" t="s">
        <v>175</v>
      </c>
      <c r="B75" s="45">
        <v>2000500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2A3A-E496-4376-ADB1-F8967B185369}">
  <sheetPr codeName="Sheet5"/>
  <dimension ref="A3:D100"/>
  <sheetViews>
    <sheetView showGridLines="0" zoomScale="78" zoomScaleNormal="78" workbookViewId="0">
      <selection activeCell="B12" sqref="B12"/>
    </sheetView>
  </sheetViews>
  <sheetFormatPr defaultRowHeight="15" x14ac:dyDescent="0.25"/>
  <cols>
    <col min="1" max="1" width="5" style="26" customWidth="1"/>
    <col min="2" max="2" width="91.42578125" bestFit="1" customWidth="1"/>
    <col min="3" max="3" width="14" customWidth="1"/>
    <col min="4" max="4" width="42.7109375" bestFit="1" customWidth="1"/>
  </cols>
  <sheetData>
    <row r="3" spans="1:4" ht="31.5" x14ac:dyDescent="0.25">
      <c r="A3" s="27"/>
      <c r="B3" s="28" t="s">
        <v>90</v>
      </c>
    </row>
    <row r="5" spans="1:4" ht="23.25" x14ac:dyDescent="0.25">
      <c r="B5" s="19" t="s">
        <v>91</v>
      </c>
    </row>
    <row r="7" spans="1:4" x14ac:dyDescent="0.25">
      <c r="B7" t="s">
        <v>92</v>
      </c>
    </row>
    <row r="9" spans="1:4" ht="23.25" x14ac:dyDescent="0.25">
      <c r="B9" s="19" t="s">
        <v>93</v>
      </c>
    </row>
    <row r="11" spans="1:4" ht="15" customHeight="1" x14ac:dyDescent="0.25">
      <c r="B11" s="22" t="s">
        <v>0</v>
      </c>
      <c r="C11" s="22" t="s">
        <v>94</v>
      </c>
      <c r="D11" s="22" t="s">
        <v>95</v>
      </c>
    </row>
    <row r="12" spans="1:4" ht="15" customHeight="1" x14ac:dyDescent="0.25">
      <c r="B12" s="23" t="s">
        <v>0</v>
      </c>
      <c r="C12" s="23" t="s">
        <v>96</v>
      </c>
      <c r="D12" s="23" t="s">
        <v>97</v>
      </c>
    </row>
    <row r="13" spans="1:4" ht="15" customHeight="1" x14ac:dyDescent="0.25">
      <c r="B13" s="23" t="s">
        <v>1</v>
      </c>
      <c r="C13" s="23" t="s">
        <v>98</v>
      </c>
      <c r="D13" s="23" t="s">
        <v>99</v>
      </c>
    </row>
    <row r="14" spans="1:4" ht="15" customHeight="1" x14ac:dyDescent="0.25">
      <c r="B14" s="23" t="s">
        <v>2</v>
      </c>
      <c r="C14" s="23" t="s">
        <v>100</v>
      </c>
      <c r="D14" s="23" t="s">
        <v>101</v>
      </c>
    </row>
    <row r="15" spans="1:4" ht="15" customHeight="1" x14ac:dyDescent="0.25">
      <c r="B15" s="23" t="s">
        <v>3</v>
      </c>
      <c r="C15" s="23" t="s">
        <v>102</v>
      </c>
      <c r="D15" s="23" t="s">
        <v>103</v>
      </c>
    </row>
    <row r="16" spans="1:4" ht="15" customHeight="1" x14ac:dyDescent="0.25">
      <c r="B16" s="23" t="s">
        <v>4</v>
      </c>
      <c r="C16" s="23" t="s">
        <v>104</v>
      </c>
      <c r="D16" s="23" t="s">
        <v>105</v>
      </c>
    </row>
    <row r="17" spans="2:4" ht="15" customHeight="1" x14ac:dyDescent="0.25">
      <c r="B17" s="23" t="s">
        <v>5</v>
      </c>
      <c r="C17" s="23" t="s">
        <v>106</v>
      </c>
      <c r="D17" s="23" t="s">
        <v>107</v>
      </c>
    </row>
    <row r="18" spans="2:4" ht="15" customHeight="1" x14ac:dyDescent="0.25">
      <c r="B18" s="23" t="s">
        <v>6</v>
      </c>
      <c r="C18" s="23" t="s">
        <v>108</v>
      </c>
      <c r="D18" s="23" t="s">
        <v>109</v>
      </c>
    </row>
    <row r="21" spans="2:4" ht="23.25" x14ac:dyDescent="0.25">
      <c r="B21" s="19" t="s">
        <v>110</v>
      </c>
    </row>
    <row r="23" spans="2:4" x14ac:dyDescent="0.25">
      <c r="B23" s="39" t="s">
        <v>111</v>
      </c>
      <c r="C23" s="5" t="s">
        <v>94</v>
      </c>
    </row>
    <row r="24" spans="2:4" x14ac:dyDescent="0.25">
      <c r="B24" s="40" t="s">
        <v>112</v>
      </c>
      <c r="C24" s="6" t="s">
        <v>184</v>
      </c>
    </row>
    <row r="25" spans="2:4" x14ac:dyDescent="0.25">
      <c r="B25" s="40" t="s">
        <v>113</v>
      </c>
      <c r="C25" s="6" t="s">
        <v>18</v>
      </c>
    </row>
    <row r="26" spans="2:4" ht="30" x14ac:dyDescent="0.25">
      <c r="B26" s="40" t="s">
        <v>114</v>
      </c>
      <c r="C26" s="6" t="s">
        <v>185</v>
      </c>
    </row>
    <row r="29" spans="2:4" ht="23.25" x14ac:dyDescent="0.25">
      <c r="B29" s="19" t="s">
        <v>115</v>
      </c>
    </row>
    <row r="31" spans="2:4" ht="18" x14ac:dyDescent="0.25">
      <c r="B31" s="20" t="s">
        <v>116</v>
      </c>
    </row>
    <row r="32" spans="2:4" x14ac:dyDescent="0.25">
      <c r="B32" s="21"/>
    </row>
    <row r="33" spans="2:2" x14ac:dyDescent="0.25">
      <c r="B33" s="24" t="s">
        <v>117</v>
      </c>
    </row>
    <row r="34" spans="2:2" x14ac:dyDescent="0.25">
      <c r="B34" s="24" t="s">
        <v>118</v>
      </c>
    </row>
    <row r="35" spans="2:2" x14ac:dyDescent="0.25">
      <c r="B35" s="24" t="s">
        <v>119</v>
      </c>
    </row>
    <row r="36" spans="2:2" x14ac:dyDescent="0.25">
      <c r="B36" s="24" t="s">
        <v>120</v>
      </c>
    </row>
    <row r="37" spans="2:2" x14ac:dyDescent="0.25">
      <c r="B37" s="24" t="s">
        <v>121</v>
      </c>
    </row>
    <row r="39" spans="2:2" ht="18" x14ac:dyDescent="0.25">
      <c r="B39" s="20" t="s">
        <v>122</v>
      </c>
    </row>
    <row r="40" spans="2:2" x14ac:dyDescent="0.25">
      <c r="B40" s="21"/>
    </row>
    <row r="41" spans="2:2" x14ac:dyDescent="0.25">
      <c r="B41" s="24" t="s">
        <v>123</v>
      </c>
    </row>
    <row r="42" spans="2:2" x14ac:dyDescent="0.25">
      <c r="B42" s="24" t="s">
        <v>124</v>
      </c>
    </row>
    <row r="43" spans="2:2" x14ac:dyDescent="0.25">
      <c r="B43" s="24" t="s">
        <v>125</v>
      </c>
    </row>
    <row r="44" spans="2:2" x14ac:dyDescent="0.25">
      <c r="B44" s="24" t="s">
        <v>126</v>
      </c>
    </row>
    <row r="46" spans="2:2" ht="18" x14ac:dyDescent="0.25">
      <c r="B46" s="20" t="s">
        <v>127</v>
      </c>
    </row>
    <row r="47" spans="2:2" x14ac:dyDescent="0.25">
      <c r="B47" s="21"/>
    </row>
    <row r="48" spans="2:2" x14ac:dyDescent="0.25">
      <c r="B48" s="24" t="s">
        <v>128</v>
      </c>
    </row>
    <row r="49" spans="2:2" x14ac:dyDescent="0.25">
      <c r="B49" s="25" t="s">
        <v>129</v>
      </c>
    </row>
    <row r="50" spans="2:2" x14ac:dyDescent="0.25">
      <c r="B50" s="25" t="s">
        <v>130</v>
      </c>
    </row>
    <row r="51" spans="2:2" x14ac:dyDescent="0.25">
      <c r="B51" s="25" t="s">
        <v>131</v>
      </c>
    </row>
    <row r="52" spans="2:2" x14ac:dyDescent="0.25">
      <c r="B52" s="25" t="s">
        <v>132</v>
      </c>
    </row>
    <row r="53" spans="2:2" x14ac:dyDescent="0.25">
      <c r="B53" s="25" t="s">
        <v>133</v>
      </c>
    </row>
    <row r="54" spans="2:2" x14ac:dyDescent="0.25">
      <c r="B54" s="24" t="s">
        <v>134</v>
      </c>
    </row>
    <row r="55" spans="2:2" x14ac:dyDescent="0.25">
      <c r="B55" s="25" t="s">
        <v>135</v>
      </c>
    </row>
    <row r="56" spans="2:2" x14ac:dyDescent="0.25">
      <c r="B56" s="25" t="s">
        <v>136</v>
      </c>
    </row>
    <row r="57" spans="2:2" x14ac:dyDescent="0.25">
      <c r="B57" s="25" t="s">
        <v>137</v>
      </c>
    </row>
    <row r="58" spans="2:2" x14ac:dyDescent="0.25">
      <c r="B58" s="24" t="s">
        <v>138</v>
      </c>
    </row>
    <row r="59" spans="2:2" x14ac:dyDescent="0.25">
      <c r="B59" s="25" t="s">
        <v>139</v>
      </c>
    </row>
    <row r="60" spans="2:2" x14ac:dyDescent="0.25">
      <c r="B60" s="25" t="s">
        <v>140</v>
      </c>
    </row>
    <row r="61" spans="2:2" x14ac:dyDescent="0.25">
      <c r="B61" s="25" t="s">
        <v>141</v>
      </c>
    </row>
    <row r="63" spans="2:2" ht="18" x14ac:dyDescent="0.25">
      <c r="B63" s="20" t="s">
        <v>142</v>
      </c>
    </row>
    <row r="64" spans="2:2" x14ac:dyDescent="0.25">
      <c r="B64" s="21"/>
    </row>
    <row r="65" spans="2:2" x14ac:dyDescent="0.25">
      <c r="B65" s="24" t="s">
        <v>143</v>
      </c>
    </row>
    <row r="66" spans="2:2" x14ac:dyDescent="0.25">
      <c r="B66" s="25" t="s">
        <v>144</v>
      </c>
    </row>
    <row r="67" spans="2:2" x14ac:dyDescent="0.25">
      <c r="B67" s="25" t="s">
        <v>145</v>
      </c>
    </row>
    <row r="68" spans="2:2" x14ac:dyDescent="0.25">
      <c r="B68" s="25" t="s">
        <v>146</v>
      </c>
    </row>
    <row r="69" spans="2:2" x14ac:dyDescent="0.25">
      <c r="B69" s="24" t="s">
        <v>147</v>
      </c>
    </row>
    <row r="70" spans="2:2" x14ac:dyDescent="0.25">
      <c r="B70" s="25" t="s">
        <v>148</v>
      </c>
    </row>
    <row r="71" spans="2:2" x14ac:dyDescent="0.25">
      <c r="B71" s="25" t="s">
        <v>149</v>
      </c>
    </row>
    <row r="72" spans="2:2" x14ac:dyDescent="0.25">
      <c r="B72" s="25" t="s">
        <v>150</v>
      </c>
    </row>
    <row r="73" spans="2:2" x14ac:dyDescent="0.25">
      <c r="B73" s="25" t="s">
        <v>151</v>
      </c>
    </row>
    <row r="77" spans="2:2" ht="23.25" x14ac:dyDescent="0.25">
      <c r="B77" s="19" t="s">
        <v>152</v>
      </c>
    </row>
    <row r="78" spans="2:2" x14ac:dyDescent="0.25">
      <c r="B78" s="21"/>
    </row>
    <row r="79" spans="2:2" x14ac:dyDescent="0.25">
      <c r="B79" s="24" t="s">
        <v>153</v>
      </c>
    </row>
    <row r="80" spans="2:2" x14ac:dyDescent="0.25">
      <c r="B80" s="24" t="s">
        <v>154</v>
      </c>
    </row>
    <row r="81" spans="2:4" x14ac:dyDescent="0.25">
      <c r="B81" s="24" t="s">
        <v>155</v>
      </c>
    </row>
    <row r="82" spans="2:4" x14ac:dyDescent="0.25">
      <c r="B82" s="24" t="s">
        <v>156</v>
      </c>
    </row>
    <row r="86" spans="2:4" ht="23.25" x14ac:dyDescent="0.25">
      <c r="B86" s="19" t="s">
        <v>157</v>
      </c>
    </row>
    <row r="88" spans="2:4" x14ac:dyDescent="0.25">
      <c r="B88" s="5" t="s">
        <v>112</v>
      </c>
      <c r="C88" s="5" t="s">
        <v>113</v>
      </c>
      <c r="D88" s="5" t="s">
        <v>158</v>
      </c>
    </row>
    <row r="89" spans="2:4" x14ac:dyDescent="0.25">
      <c r="B89" s="6" t="s">
        <v>159</v>
      </c>
      <c r="C89" s="6" t="s">
        <v>160</v>
      </c>
      <c r="D89" s="6" t="s">
        <v>161</v>
      </c>
    </row>
    <row r="90" spans="2:4" x14ac:dyDescent="0.25">
      <c r="B90" s="6" t="s">
        <v>162</v>
      </c>
      <c r="C90" s="6" t="s">
        <v>163</v>
      </c>
      <c r="D90" s="6" t="s">
        <v>164</v>
      </c>
    </row>
    <row r="91" spans="2:4" x14ac:dyDescent="0.25">
      <c r="B91" s="6" t="s">
        <v>165</v>
      </c>
      <c r="C91" s="6" t="s">
        <v>166</v>
      </c>
      <c r="D91" s="6" t="s">
        <v>167</v>
      </c>
    </row>
    <row r="94" spans="2:4" ht="23.25" x14ac:dyDescent="0.25">
      <c r="B94" s="19" t="s">
        <v>168</v>
      </c>
    </row>
    <row r="95" spans="2:4" x14ac:dyDescent="0.25">
      <c r="B95" s="21"/>
    </row>
    <row r="96" spans="2:4" x14ac:dyDescent="0.25">
      <c r="B96" s="24" t="s">
        <v>169</v>
      </c>
    </row>
    <row r="97" spans="2:2" x14ac:dyDescent="0.25">
      <c r="B97" s="24" t="s">
        <v>170</v>
      </c>
    </row>
    <row r="98" spans="2:2" x14ac:dyDescent="0.25">
      <c r="B98" s="24" t="s">
        <v>171</v>
      </c>
    </row>
    <row r="99" spans="2:2" x14ac:dyDescent="0.25">
      <c r="B99" s="24" t="s">
        <v>172</v>
      </c>
    </row>
    <row r="100" spans="2:2" x14ac:dyDescent="0.25">
      <c r="B100" s="24" t="s">
        <v>173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Cleaned</vt:lpstr>
      <vt:lpstr>Raw Data</vt:lpstr>
      <vt:lpstr>Pivot Table</vt:lpstr>
      <vt:lpstr>BRD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Ankit Kumar</cp:lastModifiedBy>
  <dcterms:created xsi:type="dcterms:W3CDTF">2026-04-02T11:07:10Z</dcterms:created>
  <dcterms:modified xsi:type="dcterms:W3CDTF">2026-04-02T14:24:19Z</dcterms:modified>
</cp:coreProperties>
</file>